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LEANED_DATA" sheetId="2" r:id="rId6"/>
    <sheet state="visible" name="PIVOT TABLE" sheetId="3" r:id="rId7"/>
    <sheet state="visible" name="DASHBOARD" sheetId="4" r:id="rId8"/>
    <sheet state="visible" name="Sheet6" sheetId="5" r:id="rId9"/>
  </sheets>
  <definedNames>
    <definedName hidden="1" localSheetId="1" name="_xlnm._FilterDatabase">CLEANED_DATA!$A$1:$H$201</definedName>
    <definedName hidden="1" localSheetId="1" name="Z_A9273827_7937_4100_9C78_E04B829EF689_.wvu.FilterData">CLEANED_DATA!$A$1:$H$201</definedName>
  </definedNames>
  <calcPr/>
  <customWorkbookViews>
    <customWorkbookView activeSheetId="0" maximized="1" windowHeight="0" windowWidth="0" guid="{A9273827-7937-4100-9C78-E04B829EF689}" name="Filter 1"/>
  </customWorkbookViews>
  <pivotCaches>
    <pivotCache cacheId="0" r:id="rId10"/>
  </pivotCaches>
</workbook>
</file>

<file path=xl/sharedStrings.xml><?xml version="1.0" encoding="utf-8"?>
<sst xmlns="http://schemas.openxmlformats.org/spreadsheetml/2006/main" count="1459" uniqueCount="67">
  <si>
    <t>Date</t>
  </si>
  <si>
    <t>Region</t>
  </si>
  <si>
    <t>Employee</t>
  </si>
  <si>
    <t>Product</t>
  </si>
  <si>
    <t>Units Sold</t>
  </si>
  <si>
    <t>Revenue</t>
  </si>
  <si>
    <t>Target</t>
  </si>
  <si>
    <t>Mumbai</t>
  </si>
  <si>
    <t>Rahul</t>
  </si>
  <si>
    <t>Tablet</t>
  </si>
  <si>
    <t>Chennai</t>
  </si>
  <si>
    <t>Amit</t>
  </si>
  <si>
    <t>Delhi</t>
  </si>
  <si>
    <t>Sneha</t>
  </si>
  <si>
    <t>Laptop</t>
  </si>
  <si>
    <t>Neha</t>
  </si>
  <si>
    <t>Smartwatch</t>
  </si>
  <si>
    <t>Mobile</t>
  </si>
  <si>
    <t>Arjun</t>
  </si>
  <si>
    <t>Bangalore</t>
  </si>
  <si>
    <t>Headphones</t>
  </si>
  <si>
    <t>Kolkata</t>
  </si>
  <si>
    <t>Priya</t>
  </si>
  <si>
    <t>Status</t>
  </si>
  <si>
    <t>16-Jun-2025</t>
  </si>
  <si>
    <t>29-Jun-2025</t>
  </si>
  <si>
    <t>Employee_region</t>
  </si>
  <si>
    <t>14-Jun-2025</t>
  </si>
  <si>
    <t>20-Jun-2025</t>
  </si>
  <si>
    <t>06-Jun-2025</t>
  </si>
  <si>
    <t>03-Jun-2025</t>
  </si>
  <si>
    <t>13-Jun-2025</t>
  </si>
  <si>
    <t>26-Jun-2025</t>
  </si>
  <si>
    <t>09-Jun-2025</t>
  </si>
  <si>
    <t>19-Jun-2025</t>
  </si>
  <si>
    <t>REGION</t>
  </si>
  <si>
    <t>TOTAL REVENUE</t>
  </si>
  <si>
    <t>17-Jun-2025</t>
  </si>
  <si>
    <t>21-Jun-2025</t>
  </si>
  <si>
    <t>23-Jun-2025</t>
  </si>
  <si>
    <t>12-Jun-2025</t>
  </si>
  <si>
    <t>28-Jun-2025</t>
  </si>
  <si>
    <t>01-Jun-2025</t>
  </si>
  <si>
    <t>04-Jun-2025</t>
  </si>
  <si>
    <t>18-Jun-2025</t>
  </si>
  <si>
    <t>05-Jun-2025</t>
  </si>
  <si>
    <t>22-Jun-2025</t>
  </si>
  <si>
    <t>11-Jun-2025</t>
  </si>
  <si>
    <t>27-Jun-2025</t>
  </si>
  <si>
    <t>30-Jun-2025</t>
  </si>
  <si>
    <t>02-Jun-2025</t>
  </si>
  <si>
    <t>10-Jun-2025</t>
  </si>
  <si>
    <t>15-Jun-2025</t>
  </si>
  <si>
    <t>24-Jun-2025</t>
  </si>
  <si>
    <t>08-Jun-2025</t>
  </si>
  <si>
    <t>25-Jun-2025</t>
  </si>
  <si>
    <t>07-Jun-2025</t>
  </si>
  <si>
    <t>SUM of Revenue</t>
  </si>
  <si>
    <t>SUM of Units Sold</t>
  </si>
  <si>
    <t>COUNTA of Status</t>
  </si>
  <si>
    <t>ACHIEVED</t>
  </si>
  <si>
    <t>NOT ACHIEVED</t>
  </si>
  <si>
    <t>Grand Total</t>
  </si>
  <si>
    <t xml:space="preserve">TOTAL REVENUE
₹30,490,230
</t>
  </si>
  <si>
    <t xml:space="preserve">ACHIEVEMENT RATE
57.5%
  </t>
  </si>
  <si>
    <t>TOTAL UNITS SOLD
1591</t>
  </si>
  <si>
    <t xml:space="preserve">TOP REGION
Mumbai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</si>
</sst>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sz val="12.0"/>
      <color rgb="FFFFFFFF"/>
      <name val="Calibri"/>
    </font>
    <font>
      <b/>
      <sz val="12.0"/>
      <color rgb="FFFFFFFF"/>
      <name val="Calibri"/>
      <scheme val="minor"/>
    </font>
    <font>
      <color rgb="FF0000FF"/>
      <name val="Calibri"/>
      <scheme val="minor"/>
    </font>
    <font>
      <b/>
      <sz val="13.0"/>
      <color rgb="FF4C1130"/>
      <name val="Calibri"/>
      <scheme val="minor"/>
    </font>
    <font>
      <color rgb="FFFF0000"/>
      <name val="Calibri"/>
    </font>
    <font>
      <color rgb="FFFF0000"/>
      <name val="Calibri"/>
      <scheme val="minor"/>
    </font>
    <font>
      <b/>
      <color rgb="FF00FF00"/>
      <name val="Calibri"/>
      <scheme val="minor"/>
    </font>
    <font>
      <color rgb="FF274E13"/>
      <name val="Calibri"/>
      <scheme val="minor"/>
    </font>
    <font>
      <color theme="1"/>
      <name val="Calibri"/>
      <scheme val="minor"/>
    </font>
    <font>
      <b/>
      <sz val="14.0"/>
      <color theme="1"/>
      <name val="Calibri"/>
    </font>
    <font/>
    <font>
      <b/>
      <color rgb="FF222222"/>
      <name val="Google Sans"/>
    </font>
    <font>
      <color rgb="FF222222"/>
      <name val="Google Sans"/>
    </font>
  </fonts>
  <fills count="6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1155CC"/>
        <bgColor rgb="FF1155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1" fillId="0" fontId="2" numFmtId="164" xfId="0" applyAlignment="1" applyBorder="1" applyFont="1" applyNumberFormat="1">
      <alignment horizontal="left"/>
    </xf>
    <xf borderId="1" fillId="0" fontId="2" numFmtId="0" xfId="0" applyAlignment="1" applyBorder="1" applyFont="1">
      <alignment horizontal="left"/>
    </xf>
    <xf borderId="1" fillId="0" fontId="2" numFmtId="165" xfId="0" applyAlignment="1" applyBorder="1" applyFont="1" applyNumberFormat="1">
      <alignment horizontal="left"/>
    </xf>
    <xf borderId="1" fillId="2" fontId="3" numFmtId="0" xfId="0" applyAlignment="1" applyBorder="1" applyFill="1" applyFont="1">
      <alignment horizontal="center" vertical="top"/>
    </xf>
    <xf borderId="1" fillId="2" fontId="3" numFmtId="4" xfId="0" applyAlignment="1" applyBorder="1" applyFont="1" applyNumberFormat="1">
      <alignment horizontal="center" vertical="top"/>
    </xf>
    <xf borderId="1" fillId="2" fontId="3" numFmtId="0" xfId="0" applyAlignment="1" applyBorder="1" applyFont="1">
      <alignment horizontal="center" readingOrder="0" vertical="top"/>
    </xf>
    <xf borderId="0" fillId="2" fontId="3" numFmtId="0" xfId="0" applyFont="1"/>
    <xf borderId="1" fillId="0" fontId="2" numFmtId="0" xfId="0" applyAlignment="1" applyBorder="1" applyFont="1">
      <alignment horizontal="center"/>
    </xf>
    <xf borderId="1" fillId="0" fontId="2" numFmtId="4" xfId="0" applyAlignment="1" applyBorder="1" applyFont="1" applyNumberFormat="1">
      <alignment horizontal="center"/>
    </xf>
    <xf borderId="0" fillId="3" fontId="4" numFmtId="0" xfId="0" applyAlignment="1" applyFill="1" applyFont="1">
      <alignment horizontal="center" readingOrder="0"/>
    </xf>
    <xf borderId="0" fillId="3" fontId="4" numFmtId="0" xfId="0" applyAlignment="1" applyFont="1">
      <alignment readingOrder="0"/>
    </xf>
    <xf borderId="0" fillId="3" fontId="4" numFmtId="0" xfId="0" applyFont="1"/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4" fontId="6" numFmtId="0" xfId="0" applyAlignment="1" applyFill="1" applyFont="1">
      <alignment readingOrder="0"/>
    </xf>
    <xf borderId="0" fillId="4" fontId="6" numFmtId="0" xfId="0" applyAlignment="1" applyFont="1">
      <alignment horizontal="center" readingOrder="0"/>
    </xf>
    <xf borderId="1" fillId="0" fontId="7" numFmtId="0" xfId="0" applyAlignment="1" applyBorder="1" applyFont="1">
      <alignment horizontal="center"/>
    </xf>
    <xf borderId="0" fillId="0" fontId="8" numFmtId="4" xfId="0" applyAlignment="1" applyFont="1" applyNumberFormat="1">
      <alignment horizontal="center"/>
    </xf>
    <xf borderId="0" fillId="3" fontId="9" numFmtId="0" xfId="0" applyAlignment="1" applyFont="1">
      <alignment readingOrder="0"/>
    </xf>
    <xf borderId="0" fillId="3" fontId="9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0" numFmtId="4" xfId="0" applyAlignment="1" applyFont="1" applyNumberFormat="1">
      <alignment horizontal="center"/>
    </xf>
    <xf borderId="0" fillId="0" fontId="2" numFmtId="4" xfId="0" applyFont="1" applyNumberFormat="1"/>
    <xf borderId="0" fillId="0" fontId="11" numFmtId="0" xfId="0" applyFont="1"/>
    <xf borderId="0" fillId="0" fontId="2" numFmtId="4" xfId="0" applyAlignment="1" applyFont="1" applyNumberFormat="1">
      <alignment horizontal="center"/>
    </xf>
    <xf borderId="0" fillId="0" fontId="11" numFmtId="4" xfId="0" applyFont="1" applyNumberFormat="1"/>
    <xf borderId="2" fillId="0" fontId="12" numFmtId="0" xfId="0" applyAlignment="1" applyBorder="1" applyFont="1">
      <alignment horizontal="center"/>
    </xf>
    <xf borderId="3" fillId="0" fontId="13" numFmtId="0" xfId="0" applyBorder="1" applyFont="1"/>
    <xf borderId="2" fillId="5" fontId="14" numFmtId="0" xfId="0" applyAlignment="1" applyBorder="1" applyFill="1" applyFont="1">
      <alignment horizontal="center"/>
    </xf>
    <xf borderId="0" fillId="0" fontId="11" numFmtId="0" xfId="0" applyAlignment="1" applyFont="1">
      <alignment readingOrder="0"/>
    </xf>
    <xf borderId="4" fillId="0" fontId="13" numFmtId="0" xfId="0" applyBorder="1" applyFont="1"/>
    <xf borderId="5" fillId="0" fontId="13" numFmtId="0" xfId="0" applyBorder="1" applyFont="1"/>
    <xf borderId="6" fillId="0" fontId="13" numFmtId="0" xfId="0" applyBorder="1" applyFont="1"/>
    <xf borderId="7" fillId="0" fontId="13" numFmtId="0" xfId="0" applyBorder="1" applyFont="1"/>
    <xf borderId="0" fillId="5" fontId="15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Arial black"/>
              </a:defRPr>
            </a:pPr>
            <a:r>
              <a:rPr b="1" i="0">
                <a:solidFill>
                  <a:schemeClr val="dk1"/>
                </a:solidFill>
                <a:latin typeface="Arial black"/>
              </a:rPr>
              <a:t>Region-wise Revenue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TABLE'!$A$2:$A$6</c:f>
            </c:strRef>
          </c:cat>
          <c:val>
            <c:numRef>
              <c:f>'PIVOT TABLE'!$B$2:$B$6</c:f>
              <c:numCache/>
            </c:numRef>
          </c:val>
        </c:ser>
        <c:axId val="147233814"/>
        <c:axId val="1359382590"/>
      </c:barChart>
      <c:catAx>
        <c:axId val="1472338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59382590"/>
      </c:catAx>
      <c:valAx>
        <c:axId val="13593825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[$₹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7233814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Arial black"/>
              </a:defRPr>
            </a:pPr>
            <a:r>
              <a:rPr b="1" i="0">
                <a:solidFill>
                  <a:schemeClr val="dk1"/>
                </a:solidFill>
                <a:latin typeface="Arial black"/>
              </a:rPr>
              <a:t>Employee Revenue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TABLE'!$D$2:$D$7</c:f>
            </c:strRef>
          </c:cat>
          <c:val>
            <c:numRef>
              <c:f>'PIVOT TABLE'!$E$2:$E$7</c:f>
              <c:numCache/>
            </c:numRef>
          </c:val>
        </c:ser>
        <c:axId val="99162983"/>
        <c:axId val="608485572"/>
      </c:barChart>
      <c:catAx>
        <c:axId val="99162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Employee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08485572"/>
      </c:catAx>
      <c:valAx>
        <c:axId val="608485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916298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Arial black"/>
              </a:defRPr>
            </a:pPr>
            <a:r>
              <a:rPr b="1" i="0">
                <a:solidFill>
                  <a:schemeClr val="dk1"/>
                </a:solidFill>
                <a:latin typeface="Arial black"/>
              </a:rPr>
              <a:t>Product-wise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TABLE'!$H$2:$H$6</c:f>
            </c:strRef>
          </c:cat>
          <c:val>
            <c:numRef>
              <c:f>'PIVOT TABLE'!$I$2:$I$6</c:f>
              <c:numCache/>
            </c:numRef>
          </c:val>
        </c:ser>
        <c:axId val="2094052908"/>
        <c:axId val="182461336"/>
      </c:barChart>
      <c:catAx>
        <c:axId val="2094052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2461336"/>
      </c:catAx>
      <c:valAx>
        <c:axId val="182461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[$₹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9405290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Arial"/>
              </a:defRPr>
            </a:pPr>
            <a:r>
              <a:rPr b="1">
                <a:solidFill>
                  <a:schemeClr val="dk1"/>
                </a:solidFill>
                <a:latin typeface="Arial"/>
              </a:rPr>
              <a:t>ACHIEVED VS. NOT ACHIEVED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TABLE'!$L$1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TABLE'!$K$2:$K$3</c:f>
            </c:strRef>
          </c:cat>
          <c:val>
            <c:numRef>
              <c:f>'PIVOT TABLE'!$L$2:$L$3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504825</xdr:colOff>
      <xdr:row>12</xdr:row>
      <xdr:rowOff>85725</xdr:rowOff>
    </xdr:from>
    <xdr:ext cx="3762375" cy="2333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12</xdr:row>
      <xdr:rowOff>85725</xdr:rowOff>
    </xdr:from>
    <xdr:ext cx="3552825" cy="2333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123825</xdr:colOff>
      <xdr:row>12</xdr:row>
      <xdr:rowOff>85725</xdr:rowOff>
    </xdr:from>
    <xdr:ext cx="3686175" cy="23336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314325</xdr:colOff>
      <xdr:row>12</xdr:row>
      <xdr:rowOff>85725</xdr:rowOff>
    </xdr:from>
    <xdr:ext cx="3505200" cy="23336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201" sheet="CLEANED_DATA"/>
  </cacheSource>
  <cacheFields>
    <cacheField name="Date" numFmtId="0">
      <sharedItems>
        <s v="16-Jun-2025"/>
        <s v="29-Jun-2025"/>
        <s v="14-Jun-2025"/>
        <s v="20-Jun-2025"/>
        <s v="06-Jun-2025"/>
        <s v="03-Jun-2025"/>
        <s v="13-Jun-2025"/>
        <s v="26-Jun-2025"/>
        <s v="09-Jun-2025"/>
        <s v="19-Jun-2025"/>
        <s v="17-Jun-2025"/>
        <s v="21-Jun-2025"/>
        <s v="23-Jun-2025"/>
        <s v="12-Jun-2025"/>
        <s v="28-Jun-2025"/>
        <s v="01-Jun-2025"/>
        <s v="04-Jun-2025"/>
        <s v="18-Jun-2025"/>
        <s v="05-Jun-2025"/>
        <s v="22-Jun-2025"/>
        <s v="11-Jun-2025"/>
        <s v="27-Jun-2025"/>
        <s v="30-Jun-2025"/>
        <s v="02-Jun-2025"/>
        <s v="10-Jun-2025"/>
        <s v="15-Jun-2025"/>
        <s v="24-Jun-2025"/>
        <s v="08-Jun-2025"/>
        <s v="25-Jun-2025"/>
        <s v="07-Jun-2025"/>
      </sharedItems>
    </cacheField>
    <cacheField name="Region" numFmtId="0">
      <sharedItems>
        <s v="Mumbai"/>
        <s v="Chennai"/>
        <s v="Delhi"/>
        <s v="Bangalore"/>
        <s v="Kolkata"/>
      </sharedItems>
    </cacheField>
    <cacheField name="Employee" numFmtId="0">
      <sharedItems>
        <s v="Rahul"/>
        <s v="Amit"/>
        <s v="Sneha"/>
        <s v="Neha"/>
        <s v="Arjun"/>
        <s v="Priya"/>
      </sharedItems>
    </cacheField>
    <cacheField name="Product" numFmtId="0">
      <sharedItems>
        <s v="Tablet"/>
        <s v="Laptop"/>
        <s v="Smartwatch"/>
        <s v="Mobile"/>
        <s v="Headphones"/>
      </sharedItems>
    </cacheField>
    <cacheField name="Units Sold" numFmtId="0">
      <sharedItems containsSemiMixedTypes="0" containsString="0" containsNumber="1" containsInteger="1">
        <n v="1.0"/>
        <n v="2.0"/>
        <n v="11.0"/>
        <n v="14.0"/>
        <n v="6.0"/>
        <n v="9.0"/>
        <n v="3.0"/>
        <n v="4.0"/>
        <n v="7.0"/>
        <n v="12.0"/>
        <n v="13.0"/>
        <n v="5.0"/>
        <n v="10.0"/>
        <n v="15.0"/>
        <n v="8.0"/>
      </sharedItems>
    </cacheField>
    <cacheField name="Revenue" numFmtId="4">
      <sharedItems containsSemiMixedTypes="0" containsString="0" containsNumber="1" containsInteger="1">
        <n v="172833.0"/>
        <n v="89721.0"/>
        <n v="66076.0"/>
        <n v="182478.0"/>
        <n v="111785.0"/>
        <n v="223674.0"/>
        <n v="94595.0"/>
        <n v="22651.0"/>
        <n v="234083.0"/>
        <n v="95320.0"/>
        <n v="203997.0"/>
        <n v="164407.0"/>
        <n v="69949.0"/>
        <n v="166610.0"/>
        <n v="18009.0"/>
        <n v="277979.0"/>
        <n v="192287.0"/>
        <n v="201318.0"/>
        <n v="222847.0"/>
        <n v="97421.0"/>
        <n v="47151.0"/>
        <n v="220758.0"/>
        <n v="120826.0"/>
        <n v="298836.0"/>
        <n v="272424.0"/>
        <n v="298351.0"/>
        <n v="277387.0"/>
        <n v="177220.0"/>
        <n v="157991.0"/>
        <n v="78114.0"/>
        <n v="242888.0"/>
        <n v="275111.0"/>
        <n v="133134.0"/>
        <n v="221361.0"/>
        <n v="119327.0"/>
        <n v="285663.0"/>
        <n v="130573.0"/>
        <n v="142507.0"/>
        <n v="172714.0"/>
        <n v="43408.0"/>
        <n v="231012.0"/>
        <n v="190291.0"/>
        <n v="279811.0"/>
        <n v="262839.0"/>
        <n v="121282.0"/>
        <n v="224446.0"/>
        <n v="40693.0"/>
        <n v="299342.0"/>
        <n v="22573.0"/>
        <n v="88010.0"/>
        <n v="143541.0"/>
        <n v="91718.0"/>
        <n v="31434.0"/>
        <n v="273461.0"/>
        <n v="70054.0"/>
        <n v="37494.0"/>
        <n v="108914.0"/>
        <n v="143860.0"/>
        <n v="290551.0"/>
        <n v="19693.0"/>
        <n v="93271.0"/>
        <n v="272624.0"/>
        <n v="226226.0"/>
        <n v="230260.0"/>
        <n v="293148.0"/>
        <n v="172448.0"/>
        <n v="241627.0"/>
        <n v="156925.0"/>
        <n v="106084.0"/>
        <n v="159472.0"/>
        <n v="139574.0"/>
        <n v="281276.0"/>
        <n v="85268.0"/>
        <n v="210635.0"/>
        <n v="112655.0"/>
        <n v="264902.0"/>
        <n v="100478.0"/>
        <n v="113065.0"/>
        <n v="90596.0"/>
        <n v="208374.0"/>
        <n v="293523.0"/>
        <n v="133491.0"/>
        <n v="191204.0"/>
        <n v="222082.0"/>
        <n v="214839.0"/>
        <n v="34285.0"/>
        <n v="64801.0"/>
        <n v="39735.0"/>
        <n v="183920.0"/>
        <n v="15536.0"/>
        <n v="285159.0"/>
        <n v="282983.0"/>
        <n v="64540.0"/>
        <n v="109903.0"/>
        <n v="111855.0"/>
        <n v="153114.0"/>
        <n v="71268.0"/>
        <n v="189611.0"/>
        <n v="148704.0"/>
        <n v="23700.0"/>
        <n v="43487.0"/>
        <n v="119023.0"/>
        <n v="69126.0"/>
        <n v="18688.0"/>
        <n v="79967.0"/>
        <n v="222466.0"/>
        <n v="270604.0"/>
        <n v="205951.0"/>
        <n v="31155.0"/>
        <n v="30795.0"/>
        <n v="211794.0"/>
        <n v="156962.0"/>
        <n v="21053.0"/>
        <n v="218755.0"/>
        <n v="81229.0"/>
        <n v="223628.0"/>
        <n v="193523.0"/>
        <n v="202897.0"/>
        <n v="70711.0"/>
        <n v="15792.0"/>
        <n v="33470.0"/>
        <n v="98501.0"/>
        <n v="293152.0"/>
        <n v="195083.0"/>
        <n v="114956.0"/>
        <n v="221732.0"/>
        <n v="21454.0"/>
        <n v="251981.0"/>
        <n v="62074.0"/>
        <n v="144878.0"/>
        <n v="273206.0"/>
        <n v="28628.0"/>
        <n v="138306.0"/>
        <n v="40858.0"/>
        <n v="155042.0"/>
        <n v="263807.0"/>
        <n v="165190.0"/>
        <n v="246767.0"/>
        <n v="202206.0"/>
        <n v="181489.0"/>
        <n v="298365.0"/>
        <n v="227699.0"/>
        <n v="80331.0"/>
        <n v="179567.0"/>
        <n v="125893.0"/>
        <n v="48227.0"/>
        <n v="55236.0"/>
        <n v="72634.0"/>
        <n v="122281.0"/>
        <n v="266108.0"/>
        <n v="276962.0"/>
        <n v="32736.0"/>
        <n v="214250.0"/>
        <n v="193701.0"/>
        <n v="296343.0"/>
        <n v="191366.0"/>
        <n v="172881.0"/>
        <n v="257504.0"/>
        <n v="57619.0"/>
        <n v="267260.0"/>
        <n v="46030.0"/>
        <n v="165944.0"/>
        <n v="264993.0"/>
        <n v="100525.0"/>
        <n v="31580.0"/>
        <n v="52458.0"/>
        <n v="45058.0"/>
        <n v="100713.0"/>
        <n v="255528.0"/>
        <n v="55517.0"/>
        <n v="296042.0"/>
        <n v="97449.0"/>
        <n v="124516.0"/>
        <n v="83965.0"/>
        <n v="250756.0"/>
        <n v="237376.0"/>
        <n v="134460.0"/>
        <n v="30503.0"/>
        <n v="82446.0"/>
        <n v="100509.0"/>
        <n v="35231.0"/>
        <n v="155498.0"/>
        <n v="100181.0"/>
        <n v="133707.0"/>
        <n v="93575.0"/>
        <n v="68952.0"/>
        <n v="25802.0"/>
        <n v="143994.0"/>
        <n v="146715.0"/>
        <n v="77828.0"/>
        <n v="275201.0"/>
        <n v="96626.0"/>
        <n v="126398.0"/>
        <n v="242857.0"/>
        <n v="177276.0"/>
        <n v="100244.0"/>
        <n v="140408.0"/>
        <n v="248103.0"/>
        <n v="214110.0"/>
        <n v="285843.0"/>
      </sharedItems>
    </cacheField>
    <cacheField name="Target" numFmtId="4">
      <sharedItems containsSemiMixedTypes="0" containsString="0" containsNumber="1" containsInteger="1">
        <n v="136507.0"/>
        <n v="98262.0"/>
        <n v="158456.0"/>
        <n v="73369.0"/>
        <n v="141493.0"/>
        <n v="205848.0"/>
        <n v="32659.0"/>
        <n v="48035.0"/>
        <n v="107384.0"/>
        <n v="112433.0"/>
        <n v="212566.0"/>
        <n v="163964.0"/>
        <n v="147371.0"/>
        <n v="94239.0"/>
        <n v="122770.0"/>
        <n v="33964.0"/>
        <n v="236333.0"/>
        <n v="114828.0"/>
        <n v="172354.0"/>
        <n v="248541.0"/>
        <n v="21061.0"/>
        <n v="158322.0"/>
        <n v="218178.0"/>
        <n v="202237.0"/>
        <n v="88666.0"/>
        <n v="199277.0"/>
        <n v="248184.0"/>
        <n v="83797.0"/>
        <n v="66839.0"/>
        <n v="161448.0"/>
        <n v="83438.0"/>
        <n v="94216.0"/>
        <n v="52464.0"/>
        <n v="91650.0"/>
        <n v="123583.0"/>
        <n v="168728.0"/>
        <n v="242496.0"/>
        <n v="59101.0"/>
        <n v="213361.0"/>
        <n v="135344.0"/>
        <n v="218555.0"/>
        <n v="248125.0"/>
        <n v="73886.0"/>
        <n v="152188.0"/>
        <n v="188888.0"/>
        <n v="139428.0"/>
        <n v="231894.0"/>
        <n v="167537.0"/>
        <n v="175778.0"/>
        <n v="223770.0"/>
        <n v="137091.0"/>
        <n v="61338.0"/>
        <n v="75769.0"/>
        <n v="161624.0"/>
        <n v="170685.0"/>
        <n v="84351.0"/>
        <n v="199285.0"/>
        <n v="44625.0"/>
        <n v="247558.0"/>
        <n v="149858.0"/>
        <n v="208767.0"/>
        <n v="126538.0"/>
        <n v="84361.0"/>
        <n v="244036.0"/>
        <n v="28901.0"/>
        <n v="47192.0"/>
        <n v="22171.0"/>
        <n v="112395.0"/>
        <n v="212098.0"/>
        <n v="203749.0"/>
        <n v="66823.0"/>
        <n v="160171.0"/>
        <n v="41859.0"/>
        <n v="151261.0"/>
        <n v="135465.0"/>
        <n v="230197.0"/>
        <n v="32501.0"/>
        <n v="51817.0"/>
        <n v="220426.0"/>
        <n v="41846.0"/>
        <n v="172891.0"/>
        <n v="78786.0"/>
        <n v="84830.0"/>
        <n v="146630.0"/>
        <n v="56138.0"/>
        <n v="111271.0"/>
        <n v="199118.0"/>
        <n v="168459.0"/>
        <n v="63628.0"/>
        <n v="57663.0"/>
        <n v="20290.0"/>
        <n v="219951.0"/>
        <n v="31940.0"/>
        <n v="26864.0"/>
        <n v="58312.0"/>
        <n v="72290.0"/>
        <n v="219137.0"/>
        <n v="248268.0"/>
        <n v="213632.0"/>
        <n v="96053.0"/>
        <n v="243603.0"/>
        <n v="244050.0"/>
        <n v="193542.0"/>
        <n v="63259.0"/>
        <n v="227351.0"/>
        <n v="95237.0"/>
        <n v="20383.0"/>
        <n v="71346.0"/>
        <n v="45154.0"/>
        <n v="41552.0"/>
        <n v="31255.0"/>
        <n v="184738.0"/>
        <n v="220584.0"/>
        <n v="128491.0"/>
        <n v="56186.0"/>
        <n v="109272.0"/>
        <n v="39783.0"/>
        <n v="164677.0"/>
        <n v="177992.0"/>
        <n v="101568.0"/>
        <n v="32411.0"/>
        <n v="136446.0"/>
        <n v="52923.0"/>
        <n v="103918.0"/>
        <n v="55204.0"/>
        <n v="218297.0"/>
        <n v="98315.0"/>
        <n v="236379.0"/>
        <n v="174275.0"/>
        <n v="248745.0"/>
        <n v="150440.0"/>
        <n v="209595.0"/>
        <n v="93174.0"/>
        <n v="90278.0"/>
        <n v="161498.0"/>
        <n v="45025.0"/>
        <n v="221614.0"/>
        <n v="244755.0"/>
        <n v="85746.0"/>
        <n v="116151.0"/>
        <n v="122184.0"/>
        <n v="206541.0"/>
        <n v="200978.0"/>
        <n v="66361.0"/>
        <n v="55929.0"/>
        <n v="171886.0"/>
        <n v="133169.0"/>
        <n v="146156.0"/>
        <n v="85074.0"/>
        <n v="131705.0"/>
        <n v="182719.0"/>
        <n v="68102.0"/>
        <n v="97234.0"/>
        <n v="51968.0"/>
        <n v="23473.0"/>
        <n v="22170.0"/>
        <n v="192803.0"/>
        <n v="130271.0"/>
        <n v="235955.0"/>
        <n v="160316.0"/>
        <n v="226481.0"/>
        <n v="89608.0"/>
        <n v="182532.0"/>
        <n v="101713.0"/>
        <n v="217235.0"/>
        <n v="115788.0"/>
        <n v="161714.0"/>
        <n v="38888.0"/>
        <n v="238497.0"/>
        <n v="57940.0"/>
        <n v="229834.0"/>
        <n v="24709.0"/>
        <n v="176329.0"/>
        <n v="216093.0"/>
        <n v="107223.0"/>
        <n v="165772.0"/>
        <n v="41457.0"/>
        <n v="153813.0"/>
        <n v="236358.0"/>
        <n v="214843.0"/>
        <n v="200483.0"/>
        <n v="142964.0"/>
        <n v="203945.0"/>
        <n v="94316.0"/>
        <n v="85035.0"/>
        <n v="141439.0"/>
        <n v="247089.0"/>
        <n v="227015.0"/>
        <n v="131846.0"/>
        <n v="145154.0"/>
        <n v="196752.0"/>
        <n v="214407.0"/>
        <n v="39469.0"/>
        <n v="69041.0"/>
        <n v="94976.0"/>
        <n v="194144.0"/>
        <n v="127906.0"/>
        <n v="234874.0"/>
        <n v="32405.0"/>
        <n v="230837.0"/>
      </sharedItems>
    </cacheField>
    <cacheField name="Status" numFmtId="0">
      <sharedItems>
        <s v="ACHIEVED"/>
        <s v="NOT ACHIEVE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1:B7" firstHeaderRow="0" firstDataRow="1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gion" axis="axisRow" compact="0" outline="0" multipleItemSelectionAllowed="1" showAll="0" sortType="ascending">
      <items>
        <item x="3"/>
        <item x="1"/>
        <item x="2"/>
        <item x="4"/>
        <item x="0"/>
        <item t="default"/>
      </items>
    </pivotField>
    <pivotField name="Employe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arge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SUM of Revenue" fld="5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D3:F10" firstHeaderRow="0" firstDataRow="2" firstDataCol="0" rowPageCount="1" colPageCount="1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gion" axis="axisP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" axis="axisRow" compact="0" outline="0" multipleItemSelectionAllowed="1" showAll="0" sortType="ascending">
      <items>
        <item x="1"/>
        <item x="4"/>
        <item x="3"/>
        <item x="5"/>
        <item x="0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arge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2"/>
  </rowFields>
  <colFields>
    <field x="-2"/>
  </colFields>
  <pageFields>
    <pageField fld="1"/>
  </pageFields>
  <dataFields>
    <dataField name="SUM of Units Sold" fld="4" baseField="0"/>
    <dataField name="SUM of Revenue" fld="5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H3:I9" firstHeaderRow="0" firstDataRow="1" firstDataCol="0" rowPageCount="1" colPageCount="1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gion" axis="axisP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" axis="axisRow" compact="0" outline="0" multipleItemSelectionAllowed="1" showAll="0" sortType="ascending">
      <items>
        <item x="4"/>
        <item x="1"/>
        <item x="3"/>
        <item x="2"/>
        <item x="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arge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3"/>
  </rowFields>
  <pageFields>
    <pageField fld="1"/>
  </pageFields>
  <dataFields>
    <dataField name="SUM of Revenue" fld="5" baseField="0"/>
  </dataFields>
</pivotTableDefinition>
</file>

<file path=xl/pivotTables/pivotTable4.xml><?xml version="1.0" encoding="utf-8"?>
<pivotTableDefinition xmlns="http://schemas.openxmlformats.org/spreadsheetml/2006/main" name="PIVOT TABLE 4" cacheId="0" dataCaption="" compact="0" compactData="0">
  <location ref="K3:L6" firstHeaderRow="0" firstDataRow="1" firstDataCol="0" rowPageCount="1" colPageCount="1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gion" axis="axisP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loye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ven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arge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Status" axis="axisRow" dataField="1" compact="0" outline="0" multipleItemSelectionAllowed="1" showAll="0" sortType="ascending">
      <items>
        <item x="0"/>
        <item x="1"/>
        <item t="default"/>
      </items>
    </pivotField>
  </pivotFields>
  <rowFields>
    <field x="7"/>
  </rowFields>
  <pageFields>
    <pageField fld="1"/>
  </pageFields>
  <dataFields>
    <dataField name="COUNTA of Status" fld="7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7.57"/>
    <col customWidth="1" min="8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45824.0</v>
      </c>
      <c r="B2" s="3" t="s">
        <v>7</v>
      </c>
      <c r="C2" s="3" t="s">
        <v>8</v>
      </c>
      <c r="D2" s="3" t="s">
        <v>9</v>
      </c>
      <c r="E2" s="3">
        <v>1.0</v>
      </c>
      <c r="F2" s="3">
        <v>172833.0</v>
      </c>
      <c r="G2" s="3">
        <v>136507.0</v>
      </c>
    </row>
    <row r="3">
      <c r="A3" s="2">
        <v>45837.0</v>
      </c>
      <c r="B3" s="3" t="s">
        <v>10</v>
      </c>
      <c r="C3" s="3" t="s">
        <v>11</v>
      </c>
      <c r="D3" s="3" t="s">
        <v>9</v>
      </c>
      <c r="E3" s="3">
        <v>1.0</v>
      </c>
      <c r="F3" s="3">
        <v>89721.0</v>
      </c>
      <c r="G3" s="3">
        <v>98262.0</v>
      </c>
    </row>
    <row r="4">
      <c r="A4" s="2">
        <v>45824.0</v>
      </c>
      <c r="B4" s="3" t="s">
        <v>12</v>
      </c>
      <c r="C4" s="3" t="s">
        <v>13</v>
      </c>
      <c r="D4" s="3" t="s">
        <v>14</v>
      </c>
      <c r="E4" s="3">
        <v>2.0</v>
      </c>
      <c r="F4" s="3">
        <v>66076.0</v>
      </c>
      <c r="G4" s="3">
        <v>158456.0</v>
      </c>
    </row>
    <row r="5">
      <c r="A5" s="2">
        <v>45822.0</v>
      </c>
      <c r="B5" s="3" t="s">
        <v>10</v>
      </c>
      <c r="C5" s="3" t="s">
        <v>15</v>
      </c>
      <c r="D5" s="3" t="s">
        <v>16</v>
      </c>
      <c r="E5" s="3">
        <v>11.0</v>
      </c>
      <c r="F5" s="3">
        <v>182478.0</v>
      </c>
      <c r="G5" s="3">
        <v>73369.0</v>
      </c>
    </row>
    <row r="6">
      <c r="A6" s="2">
        <v>45828.0</v>
      </c>
      <c r="B6" s="3" t="s">
        <v>7</v>
      </c>
      <c r="C6" s="3" t="s">
        <v>13</v>
      </c>
      <c r="D6" s="3" t="s">
        <v>17</v>
      </c>
      <c r="E6" s="3">
        <v>14.0</v>
      </c>
      <c r="F6" s="3">
        <v>111785.0</v>
      </c>
      <c r="G6" s="3">
        <v>141493.0</v>
      </c>
    </row>
    <row r="7">
      <c r="A7" s="4">
        <v>45814.0</v>
      </c>
      <c r="B7" s="3" t="s">
        <v>10</v>
      </c>
      <c r="C7" s="3" t="s">
        <v>18</v>
      </c>
      <c r="D7" s="3" t="s">
        <v>14</v>
      </c>
      <c r="E7" s="3">
        <v>1.0</v>
      </c>
      <c r="F7" s="3">
        <v>223674.0</v>
      </c>
      <c r="G7" s="3">
        <v>205848.0</v>
      </c>
    </row>
    <row r="8">
      <c r="A8" s="4">
        <v>45811.0</v>
      </c>
      <c r="B8" s="3" t="s">
        <v>10</v>
      </c>
      <c r="C8" s="3" t="s">
        <v>11</v>
      </c>
      <c r="D8" s="3" t="s">
        <v>9</v>
      </c>
      <c r="E8" s="3">
        <v>6.0</v>
      </c>
      <c r="F8" s="3">
        <v>94595.0</v>
      </c>
      <c r="G8" s="3">
        <v>32659.0</v>
      </c>
    </row>
    <row r="9">
      <c r="A9" s="2">
        <v>45821.0</v>
      </c>
      <c r="B9" s="3" t="s">
        <v>19</v>
      </c>
      <c r="C9" s="3" t="s">
        <v>8</v>
      </c>
      <c r="D9" s="3" t="s">
        <v>9</v>
      </c>
      <c r="E9" s="3">
        <v>9.0</v>
      </c>
      <c r="F9" s="3">
        <v>22651.0</v>
      </c>
      <c r="G9" s="3">
        <v>48035.0</v>
      </c>
    </row>
    <row r="10">
      <c r="A10" s="2">
        <v>45834.0</v>
      </c>
      <c r="B10" s="3" t="s">
        <v>12</v>
      </c>
      <c r="C10" s="3" t="s">
        <v>15</v>
      </c>
      <c r="D10" s="3" t="s">
        <v>20</v>
      </c>
      <c r="E10" s="3">
        <v>3.0</v>
      </c>
      <c r="F10" s="3">
        <v>234083.0</v>
      </c>
      <c r="G10" s="3">
        <v>107384.0</v>
      </c>
    </row>
    <row r="11">
      <c r="A11" s="4">
        <v>45817.0</v>
      </c>
      <c r="B11" s="3" t="s">
        <v>21</v>
      </c>
      <c r="C11" s="3" t="s">
        <v>13</v>
      </c>
      <c r="D11" s="3" t="s">
        <v>9</v>
      </c>
      <c r="E11" s="3">
        <v>11.0</v>
      </c>
      <c r="F11" s="3">
        <v>95320.0</v>
      </c>
      <c r="G11" s="3">
        <v>112433.0</v>
      </c>
    </row>
    <row r="12">
      <c r="A12" s="2">
        <v>45827.0</v>
      </c>
      <c r="B12" s="3" t="s">
        <v>10</v>
      </c>
      <c r="C12" s="3" t="s">
        <v>11</v>
      </c>
      <c r="D12" s="3" t="s">
        <v>17</v>
      </c>
      <c r="E12" s="3">
        <v>4.0</v>
      </c>
      <c r="F12" s="3">
        <v>203997.0</v>
      </c>
      <c r="G12" s="3">
        <v>212566.0</v>
      </c>
    </row>
    <row r="13">
      <c r="A13" s="2">
        <v>45837.0</v>
      </c>
      <c r="B13" s="3" t="s">
        <v>21</v>
      </c>
      <c r="C13" s="3" t="s">
        <v>13</v>
      </c>
      <c r="D13" s="3" t="s">
        <v>16</v>
      </c>
      <c r="E13" s="3">
        <v>7.0</v>
      </c>
      <c r="F13" s="3">
        <v>164407.0</v>
      </c>
      <c r="G13" s="3">
        <v>163964.0</v>
      </c>
    </row>
    <row r="14">
      <c r="A14" s="2">
        <v>45825.0</v>
      </c>
      <c r="B14" s="3" t="s">
        <v>21</v>
      </c>
      <c r="C14" s="3" t="s">
        <v>22</v>
      </c>
      <c r="D14" s="3" t="s">
        <v>16</v>
      </c>
      <c r="E14" s="3">
        <v>12.0</v>
      </c>
      <c r="F14" s="3">
        <v>69949.0</v>
      </c>
      <c r="G14" s="3">
        <v>147371.0</v>
      </c>
    </row>
    <row r="15">
      <c r="A15" s="2">
        <v>45828.0</v>
      </c>
      <c r="B15" s="3" t="s">
        <v>19</v>
      </c>
      <c r="C15" s="3" t="s">
        <v>11</v>
      </c>
      <c r="D15" s="3" t="s">
        <v>17</v>
      </c>
      <c r="E15" s="3">
        <v>12.0</v>
      </c>
      <c r="F15" s="3">
        <v>166610.0</v>
      </c>
      <c r="G15" s="3">
        <v>94239.0</v>
      </c>
    </row>
    <row r="16">
      <c r="A16" s="2">
        <v>45829.0</v>
      </c>
      <c r="B16" s="3" t="s">
        <v>21</v>
      </c>
      <c r="C16" s="3" t="s">
        <v>18</v>
      </c>
      <c r="D16" s="3" t="s">
        <v>17</v>
      </c>
      <c r="E16" s="3">
        <v>13.0</v>
      </c>
      <c r="F16" s="3">
        <v>18009.0</v>
      </c>
      <c r="G16" s="3">
        <v>122770.0</v>
      </c>
    </row>
    <row r="17">
      <c r="A17" s="2">
        <v>45831.0</v>
      </c>
      <c r="B17" s="3" t="s">
        <v>7</v>
      </c>
      <c r="C17" s="3" t="s">
        <v>11</v>
      </c>
      <c r="D17" s="3" t="s">
        <v>16</v>
      </c>
      <c r="E17" s="3">
        <v>5.0</v>
      </c>
      <c r="F17" s="3">
        <v>277979.0</v>
      </c>
      <c r="G17" s="3">
        <v>33964.0</v>
      </c>
    </row>
    <row r="18">
      <c r="A18" s="2">
        <v>45820.0</v>
      </c>
      <c r="B18" s="3" t="s">
        <v>10</v>
      </c>
      <c r="C18" s="3" t="s">
        <v>11</v>
      </c>
      <c r="D18" s="3" t="s">
        <v>16</v>
      </c>
      <c r="E18" s="3">
        <v>4.0</v>
      </c>
      <c r="F18" s="3">
        <v>192287.0</v>
      </c>
      <c r="G18" s="3">
        <v>236333.0</v>
      </c>
    </row>
    <row r="19">
      <c r="A19" s="2">
        <v>45836.0</v>
      </c>
      <c r="B19" s="3" t="s">
        <v>21</v>
      </c>
      <c r="C19" s="3" t="s">
        <v>8</v>
      </c>
      <c r="D19" s="3" t="s">
        <v>16</v>
      </c>
      <c r="E19" s="3">
        <v>3.0</v>
      </c>
      <c r="F19" s="3">
        <v>201318.0</v>
      </c>
      <c r="G19" s="3">
        <v>114828.0</v>
      </c>
    </row>
    <row r="20">
      <c r="A20" s="4">
        <v>45809.0</v>
      </c>
      <c r="B20" s="3" t="s">
        <v>12</v>
      </c>
      <c r="C20" s="3" t="s">
        <v>11</v>
      </c>
      <c r="D20" s="3" t="s">
        <v>17</v>
      </c>
      <c r="E20" s="3">
        <v>4.0</v>
      </c>
      <c r="F20" s="3">
        <v>222847.0</v>
      </c>
      <c r="G20" s="3">
        <v>172354.0</v>
      </c>
    </row>
    <row r="21" ht="15.75" customHeight="1">
      <c r="A21" s="4">
        <v>45812.0</v>
      </c>
      <c r="B21" s="3" t="s">
        <v>12</v>
      </c>
      <c r="C21" s="3" t="s">
        <v>22</v>
      </c>
      <c r="D21" s="3" t="s">
        <v>16</v>
      </c>
      <c r="E21" s="3">
        <v>1.0</v>
      </c>
      <c r="F21" s="3">
        <v>97421.0</v>
      </c>
      <c r="G21" s="3">
        <v>248541.0</v>
      </c>
    </row>
    <row r="22" ht="15.75" customHeight="1">
      <c r="A22" s="4">
        <v>45817.0</v>
      </c>
      <c r="B22" s="3" t="s">
        <v>19</v>
      </c>
      <c r="C22" s="3" t="s">
        <v>13</v>
      </c>
      <c r="D22" s="3" t="s">
        <v>9</v>
      </c>
      <c r="E22" s="3">
        <v>2.0</v>
      </c>
      <c r="F22" s="3">
        <v>47151.0</v>
      </c>
      <c r="G22" s="3">
        <v>21061.0</v>
      </c>
    </row>
    <row r="23" ht="15.75" customHeight="1">
      <c r="A23" s="2">
        <v>45820.0</v>
      </c>
      <c r="B23" s="3" t="s">
        <v>19</v>
      </c>
      <c r="C23" s="3" t="s">
        <v>22</v>
      </c>
      <c r="D23" s="3" t="s">
        <v>20</v>
      </c>
      <c r="E23" s="3">
        <v>10.0</v>
      </c>
      <c r="F23" s="3">
        <v>220758.0</v>
      </c>
      <c r="G23" s="3">
        <v>158322.0</v>
      </c>
    </row>
    <row r="24" ht="15.75" customHeight="1">
      <c r="A24" s="2">
        <v>45827.0</v>
      </c>
      <c r="B24" s="3" t="s">
        <v>19</v>
      </c>
      <c r="C24" s="3" t="s">
        <v>22</v>
      </c>
      <c r="D24" s="3" t="s">
        <v>16</v>
      </c>
      <c r="E24" s="3">
        <v>1.0</v>
      </c>
      <c r="F24" s="3">
        <v>120826.0</v>
      </c>
      <c r="G24" s="3">
        <v>218178.0</v>
      </c>
    </row>
    <row r="25" ht="15.75" customHeight="1">
      <c r="A25" s="2">
        <v>45831.0</v>
      </c>
      <c r="B25" s="3" t="s">
        <v>7</v>
      </c>
      <c r="C25" s="3" t="s">
        <v>18</v>
      </c>
      <c r="D25" s="3" t="s">
        <v>9</v>
      </c>
      <c r="E25" s="3">
        <v>15.0</v>
      </c>
      <c r="F25" s="3">
        <v>298836.0</v>
      </c>
      <c r="G25" s="3">
        <v>202237.0</v>
      </c>
    </row>
    <row r="26" ht="15.75" customHeight="1">
      <c r="A26" s="4">
        <v>45817.0</v>
      </c>
      <c r="B26" s="3" t="s">
        <v>10</v>
      </c>
      <c r="C26" s="3" t="s">
        <v>8</v>
      </c>
      <c r="D26" s="3" t="s">
        <v>14</v>
      </c>
      <c r="E26" s="3">
        <v>11.0</v>
      </c>
      <c r="F26" s="3">
        <v>272424.0</v>
      </c>
      <c r="G26" s="3">
        <v>88666.0</v>
      </c>
    </row>
    <row r="27" ht="15.75" customHeight="1">
      <c r="A27" s="2">
        <v>45827.0</v>
      </c>
      <c r="B27" s="3" t="s">
        <v>7</v>
      </c>
      <c r="C27" s="3" t="s">
        <v>22</v>
      </c>
      <c r="D27" s="3" t="s">
        <v>17</v>
      </c>
      <c r="E27" s="3">
        <v>7.0</v>
      </c>
      <c r="F27" s="3">
        <v>298351.0</v>
      </c>
      <c r="G27" s="3">
        <v>199277.0</v>
      </c>
    </row>
    <row r="28" ht="15.75" customHeight="1">
      <c r="A28" s="2">
        <v>45826.0</v>
      </c>
      <c r="B28" s="3" t="s">
        <v>7</v>
      </c>
      <c r="C28" s="3" t="s">
        <v>22</v>
      </c>
      <c r="D28" s="3" t="s">
        <v>17</v>
      </c>
      <c r="E28" s="3">
        <v>13.0</v>
      </c>
      <c r="F28" s="3">
        <v>277387.0</v>
      </c>
      <c r="G28" s="3">
        <v>248184.0</v>
      </c>
    </row>
    <row r="29" ht="15.75" customHeight="1">
      <c r="A29" s="2">
        <v>45836.0</v>
      </c>
      <c r="B29" s="3" t="s">
        <v>19</v>
      </c>
      <c r="C29" s="3" t="s">
        <v>8</v>
      </c>
      <c r="D29" s="3" t="s">
        <v>14</v>
      </c>
      <c r="E29" s="3">
        <v>6.0</v>
      </c>
      <c r="F29" s="3">
        <v>177220.0</v>
      </c>
      <c r="G29" s="3">
        <v>83797.0</v>
      </c>
    </row>
    <row r="30" ht="15.75" customHeight="1">
      <c r="A30" s="4">
        <v>45809.0</v>
      </c>
      <c r="B30" s="3" t="s">
        <v>19</v>
      </c>
      <c r="C30" s="3" t="s">
        <v>13</v>
      </c>
      <c r="D30" s="3" t="s">
        <v>20</v>
      </c>
      <c r="E30" s="3">
        <v>7.0</v>
      </c>
      <c r="F30" s="3">
        <v>157991.0</v>
      </c>
      <c r="G30" s="3">
        <v>66839.0</v>
      </c>
    </row>
    <row r="31" ht="15.75" customHeight="1">
      <c r="A31" s="2">
        <v>45820.0</v>
      </c>
      <c r="B31" s="3" t="s">
        <v>10</v>
      </c>
      <c r="C31" s="3" t="s">
        <v>22</v>
      </c>
      <c r="D31" s="3" t="s">
        <v>9</v>
      </c>
      <c r="E31" s="3">
        <v>8.0</v>
      </c>
      <c r="F31" s="3">
        <v>78114.0</v>
      </c>
      <c r="G31" s="3">
        <v>161448.0</v>
      </c>
    </row>
    <row r="32" ht="15.75" customHeight="1">
      <c r="A32" s="2">
        <v>45836.0</v>
      </c>
      <c r="B32" s="3" t="s">
        <v>21</v>
      </c>
      <c r="C32" s="3" t="s">
        <v>18</v>
      </c>
      <c r="D32" s="3" t="s">
        <v>9</v>
      </c>
      <c r="E32" s="3">
        <v>13.0</v>
      </c>
      <c r="F32" s="3">
        <v>242888.0</v>
      </c>
      <c r="G32" s="3">
        <v>83438.0</v>
      </c>
    </row>
    <row r="33" ht="15.75" customHeight="1">
      <c r="A33" s="4">
        <v>45812.0</v>
      </c>
      <c r="B33" s="3" t="s">
        <v>12</v>
      </c>
      <c r="C33" s="3" t="s">
        <v>22</v>
      </c>
      <c r="D33" s="3" t="s">
        <v>9</v>
      </c>
      <c r="E33" s="3">
        <v>14.0</v>
      </c>
      <c r="F33" s="3">
        <v>275111.0</v>
      </c>
      <c r="G33" s="3">
        <v>94216.0</v>
      </c>
    </row>
    <row r="34" ht="15.75" customHeight="1">
      <c r="A34" s="4">
        <v>45813.0</v>
      </c>
      <c r="B34" s="3" t="s">
        <v>12</v>
      </c>
      <c r="C34" s="3" t="s">
        <v>11</v>
      </c>
      <c r="D34" s="3" t="s">
        <v>17</v>
      </c>
      <c r="E34" s="3">
        <v>5.0</v>
      </c>
      <c r="F34" s="3">
        <v>133134.0</v>
      </c>
      <c r="G34" s="3">
        <v>52464.0</v>
      </c>
    </row>
    <row r="35" ht="15.75" customHeight="1">
      <c r="A35" s="2">
        <v>45829.0</v>
      </c>
      <c r="B35" s="3" t="s">
        <v>12</v>
      </c>
      <c r="C35" s="3" t="s">
        <v>15</v>
      </c>
      <c r="D35" s="3" t="s">
        <v>16</v>
      </c>
      <c r="E35" s="3">
        <v>4.0</v>
      </c>
      <c r="F35" s="3">
        <v>221361.0</v>
      </c>
      <c r="G35" s="3">
        <v>91650.0</v>
      </c>
    </row>
    <row r="36" ht="15.75" customHeight="1">
      <c r="A36" s="2">
        <v>45829.0</v>
      </c>
      <c r="B36" s="3" t="s">
        <v>10</v>
      </c>
      <c r="C36" s="3" t="s">
        <v>13</v>
      </c>
      <c r="D36" s="3" t="s">
        <v>9</v>
      </c>
      <c r="E36" s="3">
        <v>5.0</v>
      </c>
      <c r="F36" s="3">
        <v>119327.0</v>
      </c>
      <c r="G36" s="3">
        <v>123583.0</v>
      </c>
    </row>
    <row r="37" ht="15.75" customHeight="1">
      <c r="A37" s="2">
        <v>45828.0</v>
      </c>
      <c r="B37" s="3" t="s">
        <v>12</v>
      </c>
      <c r="C37" s="3" t="s">
        <v>8</v>
      </c>
      <c r="D37" s="3" t="s">
        <v>14</v>
      </c>
      <c r="E37" s="3">
        <v>1.0</v>
      </c>
      <c r="F37" s="3">
        <v>285663.0</v>
      </c>
      <c r="G37" s="3">
        <v>168728.0</v>
      </c>
    </row>
    <row r="38" ht="15.75" customHeight="1">
      <c r="A38" s="4">
        <v>45811.0</v>
      </c>
      <c r="B38" s="3" t="s">
        <v>12</v>
      </c>
      <c r="C38" s="3" t="s">
        <v>18</v>
      </c>
      <c r="D38" s="3" t="s">
        <v>9</v>
      </c>
      <c r="E38" s="3">
        <v>6.0</v>
      </c>
      <c r="F38" s="3">
        <v>130573.0</v>
      </c>
      <c r="G38" s="3">
        <v>242496.0</v>
      </c>
    </row>
    <row r="39" ht="15.75" customHeight="1">
      <c r="A39" s="2">
        <v>45830.0</v>
      </c>
      <c r="B39" s="3" t="s">
        <v>7</v>
      </c>
      <c r="C39" s="3" t="s">
        <v>18</v>
      </c>
      <c r="D39" s="3" t="s">
        <v>20</v>
      </c>
      <c r="E39" s="3">
        <v>15.0</v>
      </c>
      <c r="F39" s="3">
        <v>142507.0</v>
      </c>
      <c r="G39" s="3">
        <v>59101.0</v>
      </c>
    </row>
    <row r="40" ht="15.75" customHeight="1">
      <c r="A40" s="4">
        <v>45809.0</v>
      </c>
      <c r="B40" s="3" t="s">
        <v>12</v>
      </c>
      <c r="C40" s="3" t="s">
        <v>11</v>
      </c>
      <c r="D40" s="3" t="s">
        <v>9</v>
      </c>
      <c r="E40" s="3">
        <v>4.0</v>
      </c>
      <c r="F40" s="3">
        <v>172714.0</v>
      </c>
      <c r="G40" s="3">
        <v>213361.0</v>
      </c>
    </row>
    <row r="41" ht="15.75" customHeight="1">
      <c r="A41" s="2">
        <v>45829.0</v>
      </c>
      <c r="B41" s="3" t="s">
        <v>19</v>
      </c>
      <c r="C41" s="3" t="s">
        <v>13</v>
      </c>
      <c r="D41" s="3" t="s">
        <v>20</v>
      </c>
      <c r="E41" s="3">
        <v>14.0</v>
      </c>
      <c r="F41" s="3">
        <v>43408.0</v>
      </c>
      <c r="G41" s="3">
        <v>135344.0</v>
      </c>
    </row>
    <row r="42" ht="15.75" customHeight="1">
      <c r="A42" s="2">
        <v>45819.0</v>
      </c>
      <c r="B42" s="3" t="s">
        <v>7</v>
      </c>
      <c r="C42" s="3" t="s">
        <v>11</v>
      </c>
      <c r="D42" s="3" t="s">
        <v>9</v>
      </c>
      <c r="E42" s="3">
        <v>4.0</v>
      </c>
      <c r="F42" s="3">
        <v>231012.0</v>
      </c>
      <c r="G42" s="3">
        <v>218555.0</v>
      </c>
    </row>
    <row r="43" ht="15.75" customHeight="1">
      <c r="A43" s="2">
        <v>45835.0</v>
      </c>
      <c r="B43" s="3" t="s">
        <v>7</v>
      </c>
      <c r="C43" s="3" t="s">
        <v>13</v>
      </c>
      <c r="D43" s="3" t="s">
        <v>14</v>
      </c>
      <c r="E43" s="3">
        <v>13.0</v>
      </c>
      <c r="F43" s="3">
        <v>190291.0</v>
      </c>
      <c r="G43" s="3">
        <v>248125.0</v>
      </c>
    </row>
    <row r="44" ht="15.75" customHeight="1">
      <c r="A44" s="2">
        <v>45838.0</v>
      </c>
      <c r="B44" s="3" t="s">
        <v>10</v>
      </c>
      <c r="C44" s="3" t="s">
        <v>11</v>
      </c>
      <c r="D44" s="3" t="s">
        <v>17</v>
      </c>
      <c r="E44" s="3">
        <v>9.0</v>
      </c>
      <c r="F44" s="3">
        <v>279811.0</v>
      </c>
      <c r="G44" s="3">
        <v>73886.0</v>
      </c>
    </row>
    <row r="45" ht="15.75" customHeight="1">
      <c r="A45" s="4">
        <v>45811.0</v>
      </c>
      <c r="B45" s="3" t="s">
        <v>7</v>
      </c>
      <c r="C45" s="3" t="s">
        <v>22</v>
      </c>
      <c r="D45" s="3" t="s">
        <v>14</v>
      </c>
      <c r="E45" s="3">
        <v>6.0</v>
      </c>
      <c r="F45" s="3">
        <v>262839.0</v>
      </c>
      <c r="G45" s="3">
        <v>152188.0</v>
      </c>
    </row>
    <row r="46" ht="15.75" customHeight="1">
      <c r="A46" s="2">
        <v>45836.0</v>
      </c>
      <c r="B46" s="3" t="s">
        <v>12</v>
      </c>
      <c r="C46" s="3" t="s">
        <v>18</v>
      </c>
      <c r="D46" s="3" t="s">
        <v>20</v>
      </c>
      <c r="E46" s="3">
        <v>3.0</v>
      </c>
      <c r="F46" s="3">
        <v>121282.0</v>
      </c>
      <c r="G46" s="3">
        <v>188888.0</v>
      </c>
    </row>
    <row r="47" ht="15.75" customHeight="1">
      <c r="A47" s="4">
        <v>45809.0</v>
      </c>
      <c r="B47" s="3" t="s">
        <v>19</v>
      </c>
      <c r="C47" s="3" t="s">
        <v>8</v>
      </c>
      <c r="D47" s="3" t="s">
        <v>14</v>
      </c>
      <c r="E47" s="3">
        <v>15.0</v>
      </c>
      <c r="F47" s="3">
        <v>224446.0</v>
      </c>
      <c r="G47" s="3">
        <v>139428.0</v>
      </c>
    </row>
    <row r="48" ht="15.75" customHeight="1">
      <c r="A48" s="2">
        <v>45826.0</v>
      </c>
      <c r="B48" s="3" t="s">
        <v>19</v>
      </c>
      <c r="C48" s="3" t="s">
        <v>8</v>
      </c>
      <c r="D48" s="3" t="s">
        <v>14</v>
      </c>
      <c r="E48" s="3">
        <v>1.0</v>
      </c>
      <c r="F48" s="3">
        <v>40693.0</v>
      </c>
      <c r="G48" s="3">
        <v>231894.0</v>
      </c>
    </row>
    <row r="49" ht="15.75" customHeight="1">
      <c r="A49" s="2">
        <v>45826.0</v>
      </c>
      <c r="B49" s="3" t="s">
        <v>7</v>
      </c>
      <c r="C49" s="3" t="s">
        <v>15</v>
      </c>
      <c r="D49" s="3" t="s">
        <v>16</v>
      </c>
      <c r="E49" s="3">
        <v>2.0</v>
      </c>
      <c r="F49" s="3">
        <v>299342.0</v>
      </c>
      <c r="G49" s="3">
        <v>167537.0</v>
      </c>
    </row>
    <row r="50" ht="15.75" customHeight="1">
      <c r="A50" s="2">
        <v>45837.0</v>
      </c>
      <c r="B50" s="3" t="s">
        <v>21</v>
      </c>
      <c r="C50" s="3" t="s">
        <v>15</v>
      </c>
      <c r="D50" s="3" t="s">
        <v>17</v>
      </c>
      <c r="E50" s="3">
        <v>11.0</v>
      </c>
      <c r="F50" s="3">
        <v>22573.0</v>
      </c>
      <c r="G50" s="3">
        <v>175778.0</v>
      </c>
    </row>
    <row r="51" ht="15.75" customHeight="1">
      <c r="A51" s="4">
        <v>45810.0</v>
      </c>
      <c r="B51" s="3" t="s">
        <v>10</v>
      </c>
      <c r="C51" s="3" t="s">
        <v>8</v>
      </c>
      <c r="D51" s="3" t="s">
        <v>14</v>
      </c>
      <c r="E51" s="3">
        <v>6.0</v>
      </c>
      <c r="F51" s="3">
        <v>88010.0</v>
      </c>
      <c r="G51" s="3">
        <v>223770.0</v>
      </c>
    </row>
    <row r="52" ht="15.75" customHeight="1">
      <c r="A52" s="2">
        <v>45818.0</v>
      </c>
      <c r="B52" s="3" t="s">
        <v>12</v>
      </c>
      <c r="C52" s="3" t="s">
        <v>15</v>
      </c>
      <c r="D52" s="3" t="s">
        <v>20</v>
      </c>
      <c r="E52" s="3">
        <v>5.0</v>
      </c>
      <c r="F52" s="3">
        <v>143541.0</v>
      </c>
      <c r="G52" s="3">
        <v>137091.0</v>
      </c>
    </row>
    <row r="53" ht="15.75" customHeight="1">
      <c r="A53" s="2">
        <v>45825.0</v>
      </c>
      <c r="B53" s="3" t="s">
        <v>12</v>
      </c>
      <c r="C53" s="3" t="s">
        <v>15</v>
      </c>
      <c r="D53" s="3" t="s">
        <v>20</v>
      </c>
      <c r="E53" s="3">
        <v>1.0</v>
      </c>
      <c r="F53" s="3">
        <v>91718.0</v>
      </c>
      <c r="G53" s="3">
        <v>61338.0</v>
      </c>
    </row>
    <row r="54" ht="15.75" customHeight="1">
      <c r="A54" s="2">
        <v>45819.0</v>
      </c>
      <c r="B54" s="3" t="s">
        <v>21</v>
      </c>
      <c r="C54" s="3" t="s">
        <v>11</v>
      </c>
      <c r="D54" s="3" t="s">
        <v>14</v>
      </c>
      <c r="E54" s="3">
        <v>8.0</v>
      </c>
      <c r="F54" s="3">
        <v>31434.0</v>
      </c>
      <c r="G54" s="3">
        <v>75769.0</v>
      </c>
    </row>
    <row r="55" ht="15.75" customHeight="1">
      <c r="A55" s="2">
        <v>45838.0</v>
      </c>
      <c r="B55" s="3" t="s">
        <v>19</v>
      </c>
      <c r="C55" s="3" t="s">
        <v>15</v>
      </c>
      <c r="D55" s="3" t="s">
        <v>17</v>
      </c>
      <c r="E55" s="3">
        <v>11.0</v>
      </c>
      <c r="F55" s="3">
        <v>273461.0</v>
      </c>
      <c r="G55" s="3">
        <v>161624.0</v>
      </c>
    </row>
    <row r="56" ht="15.75" customHeight="1">
      <c r="A56" s="2">
        <v>45818.0</v>
      </c>
      <c r="B56" s="3" t="s">
        <v>10</v>
      </c>
      <c r="C56" s="3" t="s">
        <v>8</v>
      </c>
      <c r="D56" s="3" t="s">
        <v>9</v>
      </c>
      <c r="E56" s="3">
        <v>3.0</v>
      </c>
      <c r="F56" s="3">
        <v>70054.0</v>
      </c>
      <c r="G56" s="3">
        <v>170685.0</v>
      </c>
    </row>
    <row r="57" ht="15.75" customHeight="1">
      <c r="A57" s="2">
        <v>45820.0</v>
      </c>
      <c r="B57" s="3" t="s">
        <v>10</v>
      </c>
      <c r="C57" s="3" t="s">
        <v>22</v>
      </c>
      <c r="D57" s="3" t="s">
        <v>9</v>
      </c>
      <c r="E57" s="3">
        <v>11.0</v>
      </c>
      <c r="F57" s="3">
        <v>37494.0</v>
      </c>
      <c r="G57" s="3">
        <v>84351.0</v>
      </c>
    </row>
    <row r="58" ht="15.75" customHeight="1">
      <c r="A58" s="2">
        <v>45837.0</v>
      </c>
      <c r="B58" s="3" t="s">
        <v>19</v>
      </c>
      <c r="C58" s="3" t="s">
        <v>11</v>
      </c>
      <c r="D58" s="3" t="s">
        <v>17</v>
      </c>
      <c r="E58" s="3">
        <v>13.0</v>
      </c>
      <c r="F58" s="3">
        <v>108914.0</v>
      </c>
      <c r="G58" s="3">
        <v>199285.0</v>
      </c>
    </row>
    <row r="59" ht="15.75" customHeight="1">
      <c r="A59" s="2">
        <v>45831.0</v>
      </c>
      <c r="B59" s="3" t="s">
        <v>10</v>
      </c>
      <c r="C59" s="3" t="s">
        <v>13</v>
      </c>
      <c r="D59" s="3" t="s">
        <v>9</v>
      </c>
      <c r="E59" s="3">
        <v>11.0</v>
      </c>
      <c r="F59" s="3">
        <v>143860.0</v>
      </c>
      <c r="G59" s="3">
        <v>44625.0</v>
      </c>
    </row>
    <row r="60" ht="15.75" customHeight="1">
      <c r="A60" s="2">
        <v>45823.0</v>
      </c>
      <c r="B60" s="3" t="s">
        <v>19</v>
      </c>
      <c r="C60" s="3" t="s">
        <v>18</v>
      </c>
      <c r="D60" s="3" t="s">
        <v>9</v>
      </c>
      <c r="E60" s="3">
        <v>13.0</v>
      </c>
      <c r="F60" s="3">
        <v>290551.0</v>
      </c>
      <c r="G60" s="3">
        <v>247558.0</v>
      </c>
    </row>
    <row r="61" ht="15.75" customHeight="1">
      <c r="A61" s="2">
        <v>45831.0</v>
      </c>
      <c r="B61" s="3" t="s">
        <v>19</v>
      </c>
      <c r="C61" s="3" t="s">
        <v>11</v>
      </c>
      <c r="D61" s="3" t="s">
        <v>16</v>
      </c>
      <c r="E61" s="3">
        <v>7.0</v>
      </c>
      <c r="F61" s="3">
        <v>19693.0</v>
      </c>
      <c r="G61" s="3">
        <v>149858.0</v>
      </c>
    </row>
    <row r="62" ht="15.75" customHeight="1">
      <c r="A62" s="2">
        <v>45836.0</v>
      </c>
      <c r="B62" s="3" t="s">
        <v>19</v>
      </c>
      <c r="C62" s="3" t="s">
        <v>18</v>
      </c>
      <c r="D62" s="3" t="s">
        <v>16</v>
      </c>
      <c r="E62" s="3">
        <v>12.0</v>
      </c>
      <c r="F62" s="3">
        <v>93271.0</v>
      </c>
      <c r="G62" s="3">
        <v>208767.0</v>
      </c>
    </row>
    <row r="63" ht="15.75" customHeight="1">
      <c r="A63" s="2">
        <v>45819.0</v>
      </c>
      <c r="B63" s="3" t="s">
        <v>12</v>
      </c>
      <c r="C63" s="3" t="s">
        <v>15</v>
      </c>
      <c r="D63" s="3" t="s">
        <v>9</v>
      </c>
      <c r="E63" s="3">
        <v>14.0</v>
      </c>
      <c r="F63" s="3">
        <v>272624.0</v>
      </c>
      <c r="G63" s="3">
        <v>126538.0</v>
      </c>
    </row>
    <row r="64" ht="15.75" customHeight="1">
      <c r="A64" s="2">
        <v>45820.0</v>
      </c>
      <c r="B64" s="3" t="s">
        <v>19</v>
      </c>
      <c r="C64" s="3" t="s">
        <v>15</v>
      </c>
      <c r="D64" s="3" t="s">
        <v>17</v>
      </c>
      <c r="E64" s="3">
        <v>3.0</v>
      </c>
      <c r="F64" s="3">
        <v>226226.0</v>
      </c>
      <c r="G64" s="3">
        <v>84361.0</v>
      </c>
    </row>
    <row r="65" ht="15.75" customHeight="1">
      <c r="A65" s="4">
        <v>45811.0</v>
      </c>
      <c r="B65" s="3" t="s">
        <v>21</v>
      </c>
      <c r="C65" s="3" t="s">
        <v>11</v>
      </c>
      <c r="D65" s="3" t="s">
        <v>14</v>
      </c>
      <c r="E65" s="3">
        <v>7.0</v>
      </c>
      <c r="F65" s="3">
        <v>230260.0</v>
      </c>
      <c r="G65" s="3">
        <v>244036.0</v>
      </c>
    </row>
    <row r="66" ht="15.75" customHeight="1">
      <c r="A66" s="2">
        <v>45829.0</v>
      </c>
      <c r="B66" s="3" t="s">
        <v>21</v>
      </c>
      <c r="C66" s="3" t="s">
        <v>11</v>
      </c>
      <c r="D66" s="3" t="s">
        <v>17</v>
      </c>
      <c r="E66" s="3">
        <v>7.0</v>
      </c>
      <c r="F66" s="3">
        <v>293148.0</v>
      </c>
      <c r="G66" s="3">
        <v>28901.0</v>
      </c>
    </row>
    <row r="67" ht="15.75" customHeight="1">
      <c r="A67" s="2">
        <v>45831.0</v>
      </c>
      <c r="B67" s="3" t="s">
        <v>21</v>
      </c>
      <c r="C67" s="3" t="s">
        <v>13</v>
      </c>
      <c r="D67" s="3" t="s">
        <v>14</v>
      </c>
      <c r="E67" s="3">
        <v>1.0</v>
      </c>
      <c r="F67" s="3">
        <v>172448.0</v>
      </c>
      <c r="G67" s="3">
        <v>47192.0</v>
      </c>
    </row>
    <row r="68" ht="15.75" customHeight="1">
      <c r="A68" s="2">
        <v>45835.0</v>
      </c>
      <c r="B68" s="3" t="s">
        <v>7</v>
      </c>
      <c r="C68" s="3" t="s">
        <v>22</v>
      </c>
      <c r="D68" s="3" t="s">
        <v>17</v>
      </c>
      <c r="E68" s="3">
        <v>2.0</v>
      </c>
      <c r="F68" s="3">
        <v>241627.0</v>
      </c>
      <c r="G68" s="3">
        <v>22171.0</v>
      </c>
    </row>
    <row r="69" ht="15.75" customHeight="1">
      <c r="A69" s="4">
        <v>45811.0</v>
      </c>
      <c r="B69" s="3" t="s">
        <v>21</v>
      </c>
      <c r="C69" s="3" t="s">
        <v>18</v>
      </c>
      <c r="D69" s="3" t="s">
        <v>14</v>
      </c>
      <c r="E69" s="3">
        <v>1.0</v>
      </c>
      <c r="F69" s="3">
        <v>156925.0</v>
      </c>
      <c r="G69" s="3">
        <v>112395.0</v>
      </c>
    </row>
    <row r="70" ht="15.75" customHeight="1">
      <c r="A70" s="2">
        <v>45832.0</v>
      </c>
      <c r="B70" s="3" t="s">
        <v>7</v>
      </c>
      <c r="C70" s="3" t="s">
        <v>11</v>
      </c>
      <c r="D70" s="3" t="s">
        <v>20</v>
      </c>
      <c r="E70" s="3">
        <v>15.0</v>
      </c>
      <c r="F70" s="3">
        <v>106084.0</v>
      </c>
      <c r="G70" s="3">
        <v>212098.0</v>
      </c>
    </row>
    <row r="71" ht="15.75" customHeight="1">
      <c r="A71" s="4">
        <v>45813.0</v>
      </c>
      <c r="B71" s="3" t="s">
        <v>12</v>
      </c>
      <c r="C71" s="3" t="s">
        <v>18</v>
      </c>
      <c r="D71" s="3" t="s">
        <v>20</v>
      </c>
      <c r="E71" s="3">
        <v>2.0</v>
      </c>
      <c r="F71" s="3">
        <v>159472.0</v>
      </c>
      <c r="G71" s="3">
        <v>203749.0</v>
      </c>
    </row>
    <row r="72" ht="15.75" customHeight="1">
      <c r="A72" s="2">
        <v>45837.0</v>
      </c>
      <c r="B72" s="3" t="s">
        <v>10</v>
      </c>
      <c r="C72" s="3" t="s">
        <v>18</v>
      </c>
      <c r="D72" s="3" t="s">
        <v>14</v>
      </c>
      <c r="E72" s="3">
        <v>11.0</v>
      </c>
      <c r="F72" s="3">
        <v>139574.0</v>
      </c>
      <c r="G72" s="3">
        <v>66823.0</v>
      </c>
    </row>
    <row r="73" ht="15.75" customHeight="1">
      <c r="A73" s="2">
        <v>45825.0</v>
      </c>
      <c r="B73" s="3" t="s">
        <v>21</v>
      </c>
      <c r="C73" s="3" t="s">
        <v>8</v>
      </c>
      <c r="D73" s="3" t="s">
        <v>16</v>
      </c>
      <c r="E73" s="3">
        <v>3.0</v>
      </c>
      <c r="F73" s="3">
        <v>281276.0</v>
      </c>
      <c r="G73" s="3">
        <v>160171.0</v>
      </c>
    </row>
    <row r="74" ht="15.75" customHeight="1">
      <c r="A74" s="4">
        <v>45811.0</v>
      </c>
      <c r="B74" s="3" t="s">
        <v>12</v>
      </c>
      <c r="C74" s="3" t="s">
        <v>8</v>
      </c>
      <c r="D74" s="3" t="s">
        <v>16</v>
      </c>
      <c r="E74" s="3">
        <v>2.0</v>
      </c>
      <c r="F74" s="3">
        <v>85268.0</v>
      </c>
      <c r="G74" s="3">
        <v>41859.0</v>
      </c>
    </row>
    <row r="75" ht="15.75" customHeight="1">
      <c r="A75" s="2">
        <v>45835.0</v>
      </c>
      <c r="B75" s="3" t="s">
        <v>12</v>
      </c>
      <c r="C75" s="3" t="s">
        <v>8</v>
      </c>
      <c r="D75" s="3" t="s">
        <v>17</v>
      </c>
      <c r="E75" s="3">
        <v>11.0</v>
      </c>
      <c r="F75" s="3">
        <v>210635.0</v>
      </c>
      <c r="G75" s="3">
        <v>151261.0</v>
      </c>
    </row>
    <row r="76" ht="15.75" customHeight="1">
      <c r="A76" s="4">
        <v>45809.0</v>
      </c>
      <c r="B76" s="3" t="s">
        <v>7</v>
      </c>
      <c r="C76" s="3" t="s">
        <v>15</v>
      </c>
      <c r="D76" s="3" t="s">
        <v>20</v>
      </c>
      <c r="E76" s="3">
        <v>8.0</v>
      </c>
      <c r="F76" s="3">
        <v>112655.0</v>
      </c>
      <c r="G76" s="3">
        <v>135465.0</v>
      </c>
    </row>
    <row r="77" ht="15.75" customHeight="1">
      <c r="A77" s="2">
        <v>45819.0</v>
      </c>
      <c r="B77" s="3" t="s">
        <v>7</v>
      </c>
      <c r="C77" s="3" t="s">
        <v>15</v>
      </c>
      <c r="D77" s="3" t="s">
        <v>17</v>
      </c>
      <c r="E77" s="3">
        <v>8.0</v>
      </c>
      <c r="F77" s="3">
        <v>264902.0</v>
      </c>
      <c r="G77" s="3">
        <v>230197.0</v>
      </c>
    </row>
    <row r="78" ht="15.75" customHeight="1">
      <c r="A78" s="4">
        <v>45816.0</v>
      </c>
      <c r="B78" s="3" t="s">
        <v>12</v>
      </c>
      <c r="C78" s="3" t="s">
        <v>11</v>
      </c>
      <c r="D78" s="3" t="s">
        <v>14</v>
      </c>
      <c r="E78" s="3">
        <v>3.0</v>
      </c>
      <c r="F78" s="3">
        <v>100478.0</v>
      </c>
      <c r="G78" s="3">
        <v>32501.0</v>
      </c>
    </row>
    <row r="79" ht="15.75" customHeight="1">
      <c r="A79" s="2">
        <v>45831.0</v>
      </c>
      <c r="B79" s="3" t="s">
        <v>19</v>
      </c>
      <c r="C79" s="3" t="s">
        <v>13</v>
      </c>
      <c r="D79" s="3" t="s">
        <v>14</v>
      </c>
      <c r="E79" s="3">
        <v>6.0</v>
      </c>
      <c r="F79" s="3">
        <v>113065.0</v>
      </c>
      <c r="G79" s="3">
        <v>51817.0</v>
      </c>
    </row>
    <row r="80" ht="15.75" customHeight="1">
      <c r="A80" s="2">
        <v>45819.0</v>
      </c>
      <c r="B80" s="3" t="s">
        <v>10</v>
      </c>
      <c r="C80" s="3" t="s">
        <v>22</v>
      </c>
      <c r="D80" s="3" t="s">
        <v>20</v>
      </c>
      <c r="E80" s="3">
        <v>15.0</v>
      </c>
      <c r="F80" s="3">
        <v>90596.0</v>
      </c>
      <c r="G80" s="3">
        <v>220426.0</v>
      </c>
    </row>
    <row r="81" ht="15.75" customHeight="1">
      <c r="A81" s="2">
        <v>45828.0</v>
      </c>
      <c r="B81" s="3" t="s">
        <v>21</v>
      </c>
      <c r="C81" s="3" t="s">
        <v>15</v>
      </c>
      <c r="D81" s="3" t="s">
        <v>14</v>
      </c>
      <c r="E81" s="3">
        <v>7.0</v>
      </c>
      <c r="F81" s="3">
        <v>208374.0</v>
      </c>
      <c r="G81" s="3">
        <v>41846.0</v>
      </c>
    </row>
    <row r="82" ht="15.75" customHeight="1">
      <c r="A82" s="4">
        <v>45812.0</v>
      </c>
      <c r="B82" s="3" t="s">
        <v>19</v>
      </c>
      <c r="C82" s="3" t="s">
        <v>15</v>
      </c>
      <c r="D82" s="3" t="s">
        <v>17</v>
      </c>
      <c r="E82" s="3">
        <v>11.0</v>
      </c>
      <c r="F82" s="3">
        <v>293523.0</v>
      </c>
      <c r="G82" s="3">
        <v>172891.0</v>
      </c>
    </row>
    <row r="83" ht="15.75" customHeight="1">
      <c r="A83" s="2">
        <v>45818.0</v>
      </c>
      <c r="B83" s="3" t="s">
        <v>19</v>
      </c>
      <c r="C83" s="3" t="s">
        <v>13</v>
      </c>
      <c r="D83" s="3" t="s">
        <v>20</v>
      </c>
      <c r="E83" s="3">
        <v>7.0</v>
      </c>
      <c r="F83" s="3">
        <v>133491.0</v>
      </c>
      <c r="G83" s="3">
        <v>78786.0</v>
      </c>
    </row>
    <row r="84" ht="15.75" customHeight="1">
      <c r="A84" s="2">
        <v>45836.0</v>
      </c>
      <c r="B84" s="3" t="s">
        <v>12</v>
      </c>
      <c r="C84" s="3" t="s">
        <v>22</v>
      </c>
      <c r="D84" s="3" t="s">
        <v>16</v>
      </c>
      <c r="E84" s="3">
        <v>4.0</v>
      </c>
      <c r="F84" s="3">
        <v>191204.0</v>
      </c>
      <c r="G84" s="3">
        <v>84830.0</v>
      </c>
    </row>
    <row r="85" ht="15.75" customHeight="1">
      <c r="A85" s="2">
        <v>45827.0</v>
      </c>
      <c r="B85" s="3" t="s">
        <v>10</v>
      </c>
      <c r="C85" s="3" t="s">
        <v>11</v>
      </c>
      <c r="D85" s="3" t="s">
        <v>14</v>
      </c>
      <c r="E85" s="3">
        <v>15.0</v>
      </c>
      <c r="F85" s="3">
        <v>222082.0</v>
      </c>
      <c r="G85" s="3">
        <v>146630.0</v>
      </c>
    </row>
    <row r="86" ht="15.75" customHeight="1">
      <c r="A86" s="2">
        <v>45822.0</v>
      </c>
      <c r="B86" s="3" t="s">
        <v>7</v>
      </c>
      <c r="C86" s="3" t="s">
        <v>13</v>
      </c>
      <c r="D86" s="3" t="s">
        <v>20</v>
      </c>
      <c r="E86" s="3">
        <v>10.0</v>
      </c>
      <c r="F86" s="3">
        <v>214839.0</v>
      </c>
      <c r="G86" s="3">
        <v>56138.0</v>
      </c>
    </row>
    <row r="87" ht="15.75" customHeight="1">
      <c r="A87" s="4">
        <v>45814.0</v>
      </c>
      <c r="B87" s="3" t="s">
        <v>21</v>
      </c>
      <c r="C87" s="3" t="s">
        <v>13</v>
      </c>
      <c r="D87" s="3" t="s">
        <v>17</v>
      </c>
      <c r="E87" s="3">
        <v>10.0</v>
      </c>
      <c r="F87" s="3">
        <v>34285.0</v>
      </c>
      <c r="G87" s="3">
        <v>111271.0</v>
      </c>
    </row>
    <row r="88" ht="15.75" customHeight="1">
      <c r="A88" s="2">
        <v>45835.0</v>
      </c>
      <c r="B88" s="3" t="s">
        <v>19</v>
      </c>
      <c r="C88" s="3" t="s">
        <v>11</v>
      </c>
      <c r="D88" s="3" t="s">
        <v>14</v>
      </c>
      <c r="E88" s="3">
        <v>10.0</v>
      </c>
      <c r="F88" s="3">
        <v>64801.0</v>
      </c>
      <c r="G88" s="3">
        <v>199118.0</v>
      </c>
    </row>
    <row r="89" ht="15.75" customHeight="1">
      <c r="A89" s="2">
        <v>45835.0</v>
      </c>
      <c r="B89" s="3" t="s">
        <v>10</v>
      </c>
      <c r="C89" s="3" t="s">
        <v>22</v>
      </c>
      <c r="D89" s="3" t="s">
        <v>20</v>
      </c>
      <c r="E89" s="3">
        <v>6.0</v>
      </c>
      <c r="F89" s="3">
        <v>39735.0</v>
      </c>
      <c r="G89" s="3">
        <v>168459.0</v>
      </c>
    </row>
    <row r="90" ht="15.75" customHeight="1">
      <c r="A90" s="2">
        <v>45825.0</v>
      </c>
      <c r="B90" s="3" t="s">
        <v>10</v>
      </c>
      <c r="C90" s="3" t="s">
        <v>15</v>
      </c>
      <c r="D90" s="3" t="s">
        <v>14</v>
      </c>
      <c r="E90" s="3">
        <v>2.0</v>
      </c>
      <c r="F90" s="3">
        <v>183920.0</v>
      </c>
      <c r="G90" s="3">
        <v>63628.0</v>
      </c>
    </row>
    <row r="91" ht="15.75" customHeight="1">
      <c r="A91" s="2">
        <v>45838.0</v>
      </c>
      <c r="B91" s="3" t="s">
        <v>21</v>
      </c>
      <c r="C91" s="3" t="s">
        <v>8</v>
      </c>
      <c r="D91" s="3" t="s">
        <v>14</v>
      </c>
      <c r="E91" s="3">
        <v>4.0</v>
      </c>
      <c r="F91" s="3">
        <v>15536.0</v>
      </c>
      <c r="G91" s="3">
        <v>57663.0</v>
      </c>
    </row>
    <row r="92" ht="15.75" customHeight="1">
      <c r="A92" s="4">
        <v>45817.0</v>
      </c>
      <c r="B92" s="3" t="s">
        <v>21</v>
      </c>
      <c r="C92" s="3" t="s">
        <v>18</v>
      </c>
      <c r="D92" s="3" t="s">
        <v>17</v>
      </c>
      <c r="E92" s="3">
        <v>14.0</v>
      </c>
      <c r="F92" s="3">
        <v>285159.0</v>
      </c>
      <c r="G92" s="3">
        <v>20290.0</v>
      </c>
    </row>
    <row r="93" ht="15.75" customHeight="1">
      <c r="A93" s="2">
        <v>45824.0</v>
      </c>
      <c r="B93" s="3" t="s">
        <v>7</v>
      </c>
      <c r="C93" s="3" t="s">
        <v>13</v>
      </c>
      <c r="D93" s="3" t="s">
        <v>17</v>
      </c>
      <c r="E93" s="3">
        <v>10.0</v>
      </c>
      <c r="F93" s="3">
        <v>282983.0</v>
      </c>
      <c r="G93" s="3">
        <v>219951.0</v>
      </c>
    </row>
    <row r="94" ht="15.75" customHeight="1">
      <c r="A94" s="4">
        <v>45814.0</v>
      </c>
      <c r="B94" s="3" t="s">
        <v>12</v>
      </c>
      <c r="C94" s="3" t="s">
        <v>11</v>
      </c>
      <c r="D94" s="3" t="s">
        <v>17</v>
      </c>
      <c r="E94" s="3">
        <v>4.0</v>
      </c>
      <c r="F94" s="3">
        <v>64540.0</v>
      </c>
      <c r="G94" s="3">
        <v>31940.0</v>
      </c>
    </row>
    <row r="95" ht="15.75" customHeight="1">
      <c r="A95" s="2">
        <v>45836.0</v>
      </c>
      <c r="B95" s="3" t="s">
        <v>10</v>
      </c>
      <c r="C95" s="3" t="s">
        <v>18</v>
      </c>
      <c r="D95" s="3" t="s">
        <v>16</v>
      </c>
      <c r="E95" s="3">
        <v>14.0</v>
      </c>
      <c r="F95" s="3">
        <v>109903.0</v>
      </c>
      <c r="G95" s="3">
        <v>26864.0</v>
      </c>
    </row>
    <row r="96" ht="15.75" customHeight="1">
      <c r="A96" s="4">
        <v>45811.0</v>
      </c>
      <c r="B96" s="3" t="s">
        <v>7</v>
      </c>
      <c r="C96" s="3" t="s">
        <v>8</v>
      </c>
      <c r="D96" s="3" t="s">
        <v>9</v>
      </c>
      <c r="E96" s="3">
        <v>14.0</v>
      </c>
      <c r="F96" s="3">
        <v>111855.0</v>
      </c>
      <c r="G96" s="3">
        <v>58312.0</v>
      </c>
    </row>
    <row r="97" ht="15.75" customHeight="1">
      <c r="A97" s="2">
        <v>45837.0</v>
      </c>
      <c r="B97" s="3" t="s">
        <v>10</v>
      </c>
      <c r="C97" s="3" t="s">
        <v>22</v>
      </c>
      <c r="D97" s="3" t="s">
        <v>20</v>
      </c>
      <c r="E97" s="3">
        <v>8.0</v>
      </c>
      <c r="F97" s="3">
        <v>153114.0</v>
      </c>
      <c r="G97" s="3">
        <v>72290.0</v>
      </c>
    </row>
    <row r="98" ht="15.75" customHeight="1">
      <c r="A98" s="4">
        <v>45810.0</v>
      </c>
      <c r="B98" s="3" t="s">
        <v>21</v>
      </c>
      <c r="C98" s="3" t="s">
        <v>8</v>
      </c>
      <c r="D98" s="3" t="s">
        <v>16</v>
      </c>
      <c r="E98" s="3">
        <v>2.0</v>
      </c>
      <c r="F98" s="3">
        <v>71268.0</v>
      </c>
      <c r="G98" s="3">
        <v>219137.0</v>
      </c>
    </row>
    <row r="99" ht="15.75" customHeight="1">
      <c r="A99" s="4">
        <v>45817.0</v>
      </c>
      <c r="B99" s="3" t="s">
        <v>7</v>
      </c>
      <c r="C99" s="3" t="s">
        <v>13</v>
      </c>
      <c r="D99" s="3" t="s">
        <v>16</v>
      </c>
      <c r="E99" s="3">
        <v>8.0</v>
      </c>
      <c r="F99" s="3">
        <v>189611.0</v>
      </c>
      <c r="G99" s="3">
        <v>248268.0</v>
      </c>
    </row>
    <row r="100" ht="15.75" customHeight="1">
      <c r="A100" s="2">
        <v>45819.0</v>
      </c>
      <c r="B100" s="3" t="s">
        <v>7</v>
      </c>
      <c r="C100" s="3" t="s">
        <v>13</v>
      </c>
      <c r="D100" s="3" t="s">
        <v>14</v>
      </c>
      <c r="E100" s="3">
        <v>15.0</v>
      </c>
      <c r="F100" s="3">
        <v>148704.0</v>
      </c>
      <c r="G100" s="3">
        <v>213632.0</v>
      </c>
    </row>
    <row r="101" ht="15.75" customHeight="1">
      <c r="A101" s="2">
        <v>45819.0</v>
      </c>
      <c r="B101" s="3" t="s">
        <v>10</v>
      </c>
      <c r="C101" s="3" t="s">
        <v>13</v>
      </c>
      <c r="D101" s="3" t="s">
        <v>16</v>
      </c>
      <c r="E101" s="3">
        <v>1.0</v>
      </c>
      <c r="F101" s="3">
        <v>23700.0</v>
      </c>
      <c r="G101" s="3">
        <v>96053.0</v>
      </c>
    </row>
    <row r="102" ht="15.75" customHeight="1">
      <c r="A102" s="2">
        <v>45836.0</v>
      </c>
      <c r="B102" s="3" t="s">
        <v>7</v>
      </c>
      <c r="C102" s="3" t="s">
        <v>15</v>
      </c>
      <c r="D102" s="3" t="s">
        <v>20</v>
      </c>
      <c r="E102" s="3">
        <v>9.0</v>
      </c>
      <c r="F102" s="3">
        <v>43487.0</v>
      </c>
      <c r="G102" s="3">
        <v>243603.0</v>
      </c>
    </row>
    <row r="103" ht="15.75" customHeight="1">
      <c r="A103" s="2">
        <v>45832.0</v>
      </c>
      <c r="B103" s="3" t="s">
        <v>12</v>
      </c>
      <c r="C103" s="3" t="s">
        <v>8</v>
      </c>
      <c r="D103" s="3" t="s">
        <v>14</v>
      </c>
      <c r="E103" s="3">
        <v>4.0</v>
      </c>
      <c r="F103" s="3">
        <v>119023.0</v>
      </c>
      <c r="G103" s="3">
        <v>244050.0</v>
      </c>
    </row>
    <row r="104" ht="15.75" customHeight="1">
      <c r="A104" s="2">
        <v>45826.0</v>
      </c>
      <c r="B104" s="3" t="s">
        <v>21</v>
      </c>
      <c r="C104" s="3" t="s">
        <v>8</v>
      </c>
      <c r="D104" s="3" t="s">
        <v>14</v>
      </c>
      <c r="E104" s="3">
        <v>1.0</v>
      </c>
      <c r="F104" s="3">
        <v>69126.0</v>
      </c>
      <c r="G104" s="3">
        <v>193542.0</v>
      </c>
    </row>
    <row r="105" ht="15.75" customHeight="1">
      <c r="A105" s="2">
        <v>45835.0</v>
      </c>
      <c r="B105" s="3" t="s">
        <v>12</v>
      </c>
      <c r="C105" s="3" t="s">
        <v>11</v>
      </c>
      <c r="D105" s="3" t="s">
        <v>14</v>
      </c>
      <c r="E105" s="3">
        <v>15.0</v>
      </c>
      <c r="F105" s="3">
        <v>18688.0</v>
      </c>
      <c r="G105" s="3">
        <v>63259.0</v>
      </c>
    </row>
    <row r="106" ht="15.75" customHeight="1">
      <c r="A106" s="4">
        <v>45812.0</v>
      </c>
      <c r="B106" s="3" t="s">
        <v>7</v>
      </c>
      <c r="C106" s="3" t="s">
        <v>8</v>
      </c>
      <c r="D106" s="3" t="s">
        <v>9</v>
      </c>
      <c r="E106" s="3">
        <v>3.0</v>
      </c>
      <c r="F106" s="3">
        <v>79967.0</v>
      </c>
      <c r="G106" s="3">
        <v>227351.0</v>
      </c>
    </row>
    <row r="107" ht="15.75" customHeight="1">
      <c r="A107" s="2">
        <v>45829.0</v>
      </c>
      <c r="B107" s="3" t="s">
        <v>10</v>
      </c>
      <c r="C107" s="3" t="s">
        <v>11</v>
      </c>
      <c r="D107" s="3" t="s">
        <v>14</v>
      </c>
      <c r="E107" s="3">
        <v>7.0</v>
      </c>
      <c r="F107" s="3">
        <v>222466.0</v>
      </c>
      <c r="G107" s="3">
        <v>95237.0</v>
      </c>
    </row>
    <row r="108" ht="15.75" customHeight="1">
      <c r="A108" s="4">
        <v>45813.0</v>
      </c>
      <c r="B108" s="3" t="s">
        <v>10</v>
      </c>
      <c r="C108" s="3" t="s">
        <v>11</v>
      </c>
      <c r="D108" s="3" t="s">
        <v>16</v>
      </c>
      <c r="E108" s="3">
        <v>7.0</v>
      </c>
      <c r="F108" s="3">
        <v>270604.0</v>
      </c>
      <c r="G108" s="3">
        <v>20383.0</v>
      </c>
    </row>
    <row r="109" ht="15.75" customHeight="1">
      <c r="A109" s="2">
        <v>45818.0</v>
      </c>
      <c r="B109" s="3" t="s">
        <v>21</v>
      </c>
      <c r="C109" s="3" t="s">
        <v>8</v>
      </c>
      <c r="D109" s="3" t="s">
        <v>9</v>
      </c>
      <c r="E109" s="3">
        <v>3.0</v>
      </c>
      <c r="F109" s="3">
        <v>205951.0</v>
      </c>
      <c r="G109" s="3">
        <v>71346.0</v>
      </c>
    </row>
    <row r="110" ht="15.75" customHeight="1">
      <c r="A110" s="4">
        <v>45813.0</v>
      </c>
      <c r="B110" s="3" t="s">
        <v>21</v>
      </c>
      <c r="C110" s="3" t="s">
        <v>11</v>
      </c>
      <c r="D110" s="3" t="s">
        <v>14</v>
      </c>
      <c r="E110" s="3">
        <v>9.0</v>
      </c>
      <c r="F110" s="3">
        <v>31155.0</v>
      </c>
      <c r="G110" s="3">
        <v>45154.0</v>
      </c>
    </row>
    <row r="111" ht="15.75" customHeight="1">
      <c r="A111" s="4">
        <v>45814.0</v>
      </c>
      <c r="B111" s="3" t="s">
        <v>10</v>
      </c>
      <c r="C111" s="3" t="s">
        <v>11</v>
      </c>
      <c r="D111" s="3" t="s">
        <v>16</v>
      </c>
      <c r="E111" s="3">
        <v>14.0</v>
      </c>
      <c r="F111" s="3">
        <v>30795.0</v>
      </c>
      <c r="G111" s="3">
        <v>41552.0</v>
      </c>
    </row>
    <row r="112" ht="15.75" customHeight="1">
      <c r="A112" s="2">
        <v>45833.0</v>
      </c>
      <c r="B112" s="3" t="s">
        <v>10</v>
      </c>
      <c r="C112" s="3" t="s">
        <v>15</v>
      </c>
      <c r="D112" s="3" t="s">
        <v>9</v>
      </c>
      <c r="E112" s="3">
        <v>9.0</v>
      </c>
      <c r="F112" s="3">
        <v>211794.0</v>
      </c>
      <c r="G112" s="3">
        <v>31255.0</v>
      </c>
    </row>
    <row r="113" ht="15.75" customHeight="1">
      <c r="A113" s="2">
        <v>45826.0</v>
      </c>
      <c r="B113" s="3" t="s">
        <v>21</v>
      </c>
      <c r="C113" s="3" t="s">
        <v>18</v>
      </c>
      <c r="D113" s="3" t="s">
        <v>16</v>
      </c>
      <c r="E113" s="3">
        <v>14.0</v>
      </c>
      <c r="F113" s="3">
        <v>156962.0</v>
      </c>
      <c r="G113" s="3">
        <v>184738.0</v>
      </c>
    </row>
    <row r="114" ht="15.75" customHeight="1">
      <c r="A114" s="4">
        <v>45812.0</v>
      </c>
      <c r="B114" s="3" t="s">
        <v>21</v>
      </c>
      <c r="C114" s="3" t="s">
        <v>13</v>
      </c>
      <c r="D114" s="3" t="s">
        <v>14</v>
      </c>
      <c r="E114" s="3">
        <v>11.0</v>
      </c>
      <c r="F114" s="3">
        <v>21053.0</v>
      </c>
      <c r="G114" s="3">
        <v>220584.0</v>
      </c>
    </row>
    <row r="115" ht="15.75" customHeight="1">
      <c r="A115" s="4">
        <v>45810.0</v>
      </c>
      <c r="B115" s="3" t="s">
        <v>19</v>
      </c>
      <c r="C115" s="3" t="s">
        <v>13</v>
      </c>
      <c r="D115" s="3" t="s">
        <v>9</v>
      </c>
      <c r="E115" s="3">
        <v>15.0</v>
      </c>
      <c r="F115" s="3">
        <v>218755.0</v>
      </c>
      <c r="G115" s="3">
        <v>128491.0</v>
      </c>
    </row>
    <row r="116" ht="15.75" customHeight="1">
      <c r="A116" s="2">
        <v>45819.0</v>
      </c>
      <c r="B116" s="3" t="s">
        <v>7</v>
      </c>
      <c r="C116" s="3" t="s">
        <v>13</v>
      </c>
      <c r="D116" s="3" t="s">
        <v>16</v>
      </c>
      <c r="E116" s="3">
        <v>9.0</v>
      </c>
      <c r="F116" s="3">
        <v>81229.0</v>
      </c>
      <c r="G116" s="3">
        <v>56186.0</v>
      </c>
    </row>
    <row r="117" ht="15.75" customHeight="1">
      <c r="A117" s="2">
        <v>45837.0</v>
      </c>
      <c r="B117" s="3" t="s">
        <v>21</v>
      </c>
      <c r="C117" s="3" t="s">
        <v>15</v>
      </c>
      <c r="D117" s="3" t="s">
        <v>9</v>
      </c>
      <c r="E117" s="3">
        <v>4.0</v>
      </c>
      <c r="F117" s="3">
        <v>223628.0</v>
      </c>
      <c r="G117" s="3">
        <v>109272.0</v>
      </c>
    </row>
    <row r="118" ht="15.75" customHeight="1">
      <c r="A118" s="2">
        <v>45830.0</v>
      </c>
      <c r="B118" s="3" t="s">
        <v>12</v>
      </c>
      <c r="C118" s="3" t="s">
        <v>18</v>
      </c>
      <c r="D118" s="3" t="s">
        <v>16</v>
      </c>
      <c r="E118" s="3">
        <v>15.0</v>
      </c>
      <c r="F118" s="3">
        <v>193523.0</v>
      </c>
      <c r="G118" s="3">
        <v>39783.0</v>
      </c>
    </row>
    <row r="119" ht="15.75" customHeight="1">
      <c r="A119" s="2">
        <v>45830.0</v>
      </c>
      <c r="B119" s="3" t="s">
        <v>12</v>
      </c>
      <c r="C119" s="3" t="s">
        <v>13</v>
      </c>
      <c r="D119" s="3" t="s">
        <v>14</v>
      </c>
      <c r="E119" s="3">
        <v>7.0</v>
      </c>
      <c r="F119" s="3">
        <v>202897.0</v>
      </c>
      <c r="G119" s="3">
        <v>164677.0</v>
      </c>
    </row>
    <row r="120" ht="15.75" customHeight="1">
      <c r="A120" s="2">
        <v>45836.0</v>
      </c>
      <c r="B120" s="3" t="s">
        <v>7</v>
      </c>
      <c r="C120" s="3" t="s">
        <v>22</v>
      </c>
      <c r="D120" s="3" t="s">
        <v>17</v>
      </c>
      <c r="E120" s="3">
        <v>10.0</v>
      </c>
      <c r="F120" s="3">
        <v>70711.0</v>
      </c>
      <c r="G120" s="3">
        <v>177992.0</v>
      </c>
    </row>
    <row r="121" ht="15.75" customHeight="1">
      <c r="A121" s="2">
        <v>45818.0</v>
      </c>
      <c r="B121" s="3" t="s">
        <v>10</v>
      </c>
      <c r="C121" s="3" t="s">
        <v>11</v>
      </c>
      <c r="D121" s="3" t="s">
        <v>17</v>
      </c>
      <c r="E121" s="3">
        <v>4.0</v>
      </c>
      <c r="F121" s="3">
        <v>15792.0</v>
      </c>
      <c r="G121" s="3">
        <v>101568.0</v>
      </c>
    </row>
    <row r="122" ht="15.75" customHeight="1">
      <c r="A122" s="4">
        <v>45813.0</v>
      </c>
      <c r="B122" s="3" t="s">
        <v>10</v>
      </c>
      <c r="C122" s="3" t="s">
        <v>22</v>
      </c>
      <c r="D122" s="3" t="s">
        <v>14</v>
      </c>
      <c r="E122" s="3">
        <v>12.0</v>
      </c>
      <c r="F122" s="3">
        <v>33470.0</v>
      </c>
      <c r="G122" s="3">
        <v>32411.0</v>
      </c>
    </row>
    <row r="123" ht="15.75" customHeight="1">
      <c r="A123" s="2">
        <v>45835.0</v>
      </c>
      <c r="B123" s="3" t="s">
        <v>7</v>
      </c>
      <c r="C123" s="3" t="s">
        <v>8</v>
      </c>
      <c r="D123" s="3" t="s">
        <v>9</v>
      </c>
      <c r="E123" s="3">
        <v>13.0</v>
      </c>
      <c r="F123" s="3">
        <v>98501.0</v>
      </c>
      <c r="G123" s="3">
        <v>136446.0</v>
      </c>
    </row>
    <row r="124" ht="15.75" customHeight="1">
      <c r="A124" s="2">
        <v>45831.0</v>
      </c>
      <c r="B124" s="3" t="s">
        <v>10</v>
      </c>
      <c r="C124" s="3" t="s">
        <v>13</v>
      </c>
      <c r="D124" s="3" t="s">
        <v>14</v>
      </c>
      <c r="E124" s="3">
        <v>8.0</v>
      </c>
      <c r="F124" s="3">
        <v>293152.0</v>
      </c>
      <c r="G124" s="3">
        <v>52923.0</v>
      </c>
    </row>
    <row r="125" ht="15.75" customHeight="1">
      <c r="A125" s="2">
        <v>45832.0</v>
      </c>
      <c r="B125" s="3" t="s">
        <v>10</v>
      </c>
      <c r="C125" s="3" t="s">
        <v>22</v>
      </c>
      <c r="D125" s="3" t="s">
        <v>20</v>
      </c>
      <c r="E125" s="3">
        <v>8.0</v>
      </c>
      <c r="F125" s="3">
        <v>195083.0</v>
      </c>
      <c r="G125" s="3">
        <v>103918.0</v>
      </c>
    </row>
    <row r="126" ht="15.75" customHeight="1">
      <c r="A126" s="2">
        <v>45834.0</v>
      </c>
      <c r="B126" s="3" t="s">
        <v>19</v>
      </c>
      <c r="C126" s="3" t="s">
        <v>8</v>
      </c>
      <c r="D126" s="3" t="s">
        <v>14</v>
      </c>
      <c r="E126" s="3">
        <v>13.0</v>
      </c>
      <c r="F126" s="3">
        <v>114956.0</v>
      </c>
      <c r="G126" s="3">
        <v>55204.0</v>
      </c>
    </row>
    <row r="127" ht="15.75" customHeight="1">
      <c r="A127" s="4">
        <v>45815.0</v>
      </c>
      <c r="B127" s="3" t="s">
        <v>21</v>
      </c>
      <c r="C127" s="3" t="s">
        <v>15</v>
      </c>
      <c r="D127" s="3" t="s">
        <v>20</v>
      </c>
      <c r="E127" s="3">
        <v>3.0</v>
      </c>
      <c r="F127" s="3">
        <v>221732.0</v>
      </c>
      <c r="G127" s="3">
        <v>218297.0</v>
      </c>
    </row>
    <row r="128" ht="15.75" customHeight="1">
      <c r="A128" s="4">
        <v>45810.0</v>
      </c>
      <c r="B128" s="3" t="s">
        <v>7</v>
      </c>
      <c r="C128" s="3" t="s">
        <v>8</v>
      </c>
      <c r="D128" s="3" t="s">
        <v>20</v>
      </c>
      <c r="E128" s="3">
        <v>4.0</v>
      </c>
      <c r="F128" s="3">
        <v>21454.0</v>
      </c>
      <c r="G128" s="3">
        <v>98315.0</v>
      </c>
    </row>
    <row r="129" ht="15.75" customHeight="1">
      <c r="A129" s="4">
        <v>45815.0</v>
      </c>
      <c r="B129" s="3" t="s">
        <v>10</v>
      </c>
      <c r="C129" s="3" t="s">
        <v>22</v>
      </c>
      <c r="D129" s="3" t="s">
        <v>14</v>
      </c>
      <c r="E129" s="3">
        <v>7.0</v>
      </c>
      <c r="F129" s="3">
        <v>251981.0</v>
      </c>
      <c r="G129" s="3">
        <v>236379.0</v>
      </c>
    </row>
    <row r="130" ht="15.75" customHeight="1">
      <c r="A130" s="2">
        <v>45837.0</v>
      </c>
      <c r="B130" s="3" t="s">
        <v>12</v>
      </c>
      <c r="C130" s="3" t="s">
        <v>22</v>
      </c>
      <c r="D130" s="3" t="s">
        <v>9</v>
      </c>
      <c r="E130" s="3">
        <v>3.0</v>
      </c>
      <c r="F130" s="3">
        <v>62074.0</v>
      </c>
      <c r="G130" s="3">
        <v>174275.0</v>
      </c>
    </row>
    <row r="131" ht="15.75" customHeight="1">
      <c r="A131" s="2">
        <v>45829.0</v>
      </c>
      <c r="B131" s="3" t="s">
        <v>12</v>
      </c>
      <c r="C131" s="3" t="s">
        <v>11</v>
      </c>
      <c r="D131" s="3" t="s">
        <v>14</v>
      </c>
      <c r="E131" s="3">
        <v>6.0</v>
      </c>
      <c r="F131" s="3">
        <v>144878.0</v>
      </c>
      <c r="G131" s="3">
        <v>248745.0</v>
      </c>
    </row>
    <row r="132" ht="15.75" customHeight="1">
      <c r="A132" s="2">
        <v>45835.0</v>
      </c>
      <c r="B132" s="3" t="s">
        <v>7</v>
      </c>
      <c r="C132" s="3" t="s">
        <v>8</v>
      </c>
      <c r="D132" s="3" t="s">
        <v>9</v>
      </c>
      <c r="E132" s="3">
        <v>13.0</v>
      </c>
      <c r="F132" s="3">
        <v>273206.0</v>
      </c>
      <c r="G132" s="3">
        <v>150440.0</v>
      </c>
    </row>
    <row r="133" ht="15.75" customHeight="1">
      <c r="A133" s="2">
        <v>45835.0</v>
      </c>
      <c r="B133" s="3" t="s">
        <v>19</v>
      </c>
      <c r="C133" s="3" t="s">
        <v>11</v>
      </c>
      <c r="D133" s="3" t="s">
        <v>16</v>
      </c>
      <c r="E133" s="3">
        <v>15.0</v>
      </c>
      <c r="F133" s="3">
        <v>28628.0</v>
      </c>
      <c r="G133" s="3">
        <v>209595.0</v>
      </c>
    </row>
    <row r="134" ht="15.75" customHeight="1">
      <c r="A134" s="2">
        <v>45833.0</v>
      </c>
      <c r="B134" s="3" t="s">
        <v>21</v>
      </c>
      <c r="C134" s="3" t="s">
        <v>11</v>
      </c>
      <c r="D134" s="3" t="s">
        <v>9</v>
      </c>
      <c r="E134" s="3">
        <v>3.0</v>
      </c>
      <c r="F134" s="3">
        <v>138306.0</v>
      </c>
      <c r="G134" s="3">
        <v>93174.0</v>
      </c>
    </row>
    <row r="135" ht="15.75" customHeight="1">
      <c r="A135" s="4">
        <v>45814.0</v>
      </c>
      <c r="B135" s="3" t="s">
        <v>10</v>
      </c>
      <c r="C135" s="3" t="s">
        <v>22</v>
      </c>
      <c r="D135" s="3" t="s">
        <v>17</v>
      </c>
      <c r="E135" s="3">
        <v>12.0</v>
      </c>
      <c r="F135" s="3">
        <v>40858.0</v>
      </c>
      <c r="G135" s="3">
        <v>90278.0</v>
      </c>
    </row>
    <row r="136" ht="15.75" customHeight="1">
      <c r="A136" s="2">
        <v>45819.0</v>
      </c>
      <c r="B136" s="3" t="s">
        <v>10</v>
      </c>
      <c r="C136" s="3" t="s">
        <v>18</v>
      </c>
      <c r="D136" s="3" t="s">
        <v>16</v>
      </c>
      <c r="E136" s="3">
        <v>10.0</v>
      </c>
      <c r="F136" s="3">
        <v>155042.0</v>
      </c>
      <c r="G136" s="3">
        <v>161498.0</v>
      </c>
    </row>
    <row r="137" ht="15.75" customHeight="1">
      <c r="A137" s="2">
        <v>45826.0</v>
      </c>
      <c r="B137" s="3" t="s">
        <v>19</v>
      </c>
      <c r="C137" s="3" t="s">
        <v>13</v>
      </c>
      <c r="D137" s="3" t="s">
        <v>14</v>
      </c>
      <c r="E137" s="3">
        <v>2.0</v>
      </c>
      <c r="F137" s="3">
        <v>263807.0</v>
      </c>
      <c r="G137" s="3">
        <v>45025.0</v>
      </c>
    </row>
    <row r="138" ht="15.75" customHeight="1">
      <c r="A138" s="2">
        <v>45819.0</v>
      </c>
      <c r="B138" s="3" t="s">
        <v>19</v>
      </c>
      <c r="C138" s="3" t="s">
        <v>11</v>
      </c>
      <c r="D138" s="3" t="s">
        <v>9</v>
      </c>
      <c r="E138" s="3">
        <v>5.0</v>
      </c>
      <c r="F138" s="3">
        <v>165190.0</v>
      </c>
      <c r="G138" s="3">
        <v>221614.0</v>
      </c>
    </row>
    <row r="139" ht="15.75" customHeight="1">
      <c r="A139" s="2">
        <v>45834.0</v>
      </c>
      <c r="B139" s="3" t="s">
        <v>12</v>
      </c>
      <c r="C139" s="3" t="s">
        <v>18</v>
      </c>
      <c r="D139" s="3" t="s">
        <v>16</v>
      </c>
      <c r="E139" s="3">
        <v>1.0</v>
      </c>
      <c r="F139" s="3">
        <v>246767.0</v>
      </c>
      <c r="G139" s="3">
        <v>244755.0</v>
      </c>
    </row>
    <row r="140" ht="15.75" customHeight="1">
      <c r="A140" s="4">
        <v>45810.0</v>
      </c>
      <c r="B140" s="3" t="s">
        <v>7</v>
      </c>
      <c r="C140" s="3" t="s">
        <v>8</v>
      </c>
      <c r="D140" s="3" t="s">
        <v>9</v>
      </c>
      <c r="E140" s="3">
        <v>1.0</v>
      </c>
      <c r="F140" s="3">
        <v>202206.0</v>
      </c>
      <c r="G140" s="3">
        <v>85746.0</v>
      </c>
    </row>
    <row r="141" ht="15.75" customHeight="1">
      <c r="A141" s="2">
        <v>45837.0</v>
      </c>
      <c r="B141" s="3" t="s">
        <v>21</v>
      </c>
      <c r="C141" s="3" t="s">
        <v>13</v>
      </c>
      <c r="D141" s="3" t="s">
        <v>17</v>
      </c>
      <c r="E141" s="3">
        <v>9.0</v>
      </c>
      <c r="F141" s="3">
        <v>181489.0</v>
      </c>
      <c r="G141" s="3">
        <v>116151.0</v>
      </c>
    </row>
    <row r="142" ht="15.75" customHeight="1">
      <c r="A142" s="2">
        <v>45837.0</v>
      </c>
      <c r="B142" s="3" t="s">
        <v>12</v>
      </c>
      <c r="C142" s="3" t="s">
        <v>13</v>
      </c>
      <c r="D142" s="3" t="s">
        <v>17</v>
      </c>
      <c r="E142" s="3">
        <v>14.0</v>
      </c>
      <c r="F142" s="3">
        <v>298365.0</v>
      </c>
      <c r="G142" s="3">
        <v>122184.0</v>
      </c>
    </row>
    <row r="143" ht="15.75" customHeight="1">
      <c r="A143" s="4">
        <v>45812.0</v>
      </c>
      <c r="B143" s="3" t="s">
        <v>21</v>
      </c>
      <c r="C143" s="3" t="s">
        <v>15</v>
      </c>
      <c r="D143" s="3" t="s">
        <v>16</v>
      </c>
      <c r="E143" s="3">
        <v>1.0</v>
      </c>
      <c r="F143" s="3">
        <v>227699.0</v>
      </c>
      <c r="G143" s="3">
        <v>206541.0</v>
      </c>
    </row>
    <row r="144" ht="15.75" customHeight="1">
      <c r="A144" s="4">
        <v>45811.0</v>
      </c>
      <c r="B144" s="3" t="s">
        <v>21</v>
      </c>
      <c r="C144" s="3" t="s">
        <v>13</v>
      </c>
      <c r="D144" s="3" t="s">
        <v>20</v>
      </c>
      <c r="E144" s="3">
        <v>10.0</v>
      </c>
      <c r="F144" s="3">
        <v>80331.0</v>
      </c>
      <c r="G144" s="3">
        <v>200978.0</v>
      </c>
    </row>
    <row r="145" ht="15.75" customHeight="1">
      <c r="A145" s="2">
        <v>45826.0</v>
      </c>
      <c r="B145" s="3" t="s">
        <v>10</v>
      </c>
      <c r="C145" s="3" t="s">
        <v>13</v>
      </c>
      <c r="D145" s="3" t="s">
        <v>14</v>
      </c>
      <c r="E145" s="3">
        <v>3.0</v>
      </c>
      <c r="F145" s="3">
        <v>179567.0</v>
      </c>
      <c r="G145" s="3">
        <v>66361.0</v>
      </c>
    </row>
    <row r="146" ht="15.75" customHeight="1">
      <c r="A146" s="2">
        <v>45826.0</v>
      </c>
      <c r="B146" s="3" t="s">
        <v>10</v>
      </c>
      <c r="C146" s="3" t="s">
        <v>15</v>
      </c>
      <c r="D146" s="3" t="s">
        <v>14</v>
      </c>
      <c r="E146" s="3">
        <v>1.0</v>
      </c>
      <c r="F146" s="3">
        <v>125893.0</v>
      </c>
      <c r="G146" s="3">
        <v>55929.0</v>
      </c>
    </row>
    <row r="147" ht="15.75" customHeight="1">
      <c r="A147" s="2">
        <v>45818.0</v>
      </c>
      <c r="B147" s="3" t="s">
        <v>7</v>
      </c>
      <c r="C147" s="3" t="s">
        <v>15</v>
      </c>
      <c r="D147" s="3" t="s">
        <v>14</v>
      </c>
      <c r="E147" s="3">
        <v>9.0</v>
      </c>
      <c r="F147" s="3">
        <v>48227.0</v>
      </c>
      <c r="G147" s="3">
        <v>171886.0</v>
      </c>
    </row>
    <row r="148" ht="15.75" customHeight="1">
      <c r="A148" s="2">
        <v>45838.0</v>
      </c>
      <c r="B148" s="3" t="s">
        <v>7</v>
      </c>
      <c r="C148" s="3" t="s">
        <v>13</v>
      </c>
      <c r="D148" s="3" t="s">
        <v>20</v>
      </c>
      <c r="E148" s="3">
        <v>8.0</v>
      </c>
      <c r="F148" s="3">
        <v>55236.0</v>
      </c>
      <c r="G148" s="3">
        <v>133169.0</v>
      </c>
    </row>
    <row r="149" ht="15.75" customHeight="1">
      <c r="A149" s="2">
        <v>45824.0</v>
      </c>
      <c r="B149" s="3" t="s">
        <v>19</v>
      </c>
      <c r="C149" s="3" t="s">
        <v>22</v>
      </c>
      <c r="D149" s="3" t="s">
        <v>17</v>
      </c>
      <c r="E149" s="3">
        <v>7.0</v>
      </c>
      <c r="F149" s="3">
        <v>72634.0</v>
      </c>
      <c r="G149" s="3">
        <v>146156.0</v>
      </c>
    </row>
    <row r="150" ht="15.75" customHeight="1">
      <c r="A150" s="2">
        <v>45838.0</v>
      </c>
      <c r="B150" s="3" t="s">
        <v>19</v>
      </c>
      <c r="C150" s="3" t="s">
        <v>22</v>
      </c>
      <c r="D150" s="3" t="s">
        <v>17</v>
      </c>
      <c r="E150" s="3">
        <v>12.0</v>
      </c>
      <c r="F150" s="3">
        <v>122281.0</v>
      </c>
      <c r="G150" s="3">
        <v>85074.0</v>
      </c>
    </row>
    <row r="151" ht="15.75" customHeight="1">
      <c r="A151" s="2">
        <v>45834.0</v>
      </c>
      <c r="B151" s="3" t="s">
        <v>7</v>
      </c>
      <c r="C151" s="3" t="s">
        <v>11</v>
      </c>
      <c r="D151" s="3" t="s">
        <v>20</v>
      </c>
      <c r="E151" s="3">
        <v>8.0</v>
      </c>
      <c r="F151" s="3">
        <v>266108.0</v>
      </c>
      <c r="G151" s="3">
        <v>131705.0</v>
      </c>
    </row>
    <row r="152" ht="15.75" customHeight="1">
      <c r="A152" s="4">
        <v>45816.0</v>
      </c>
      <c r="B152" s="3" t="s">
        <v>21</v>
      </c>
      <c r="C152" s="3" t="s">
        <v>11</v>
      </c>
      <c r="D152" s="3" t="s">
        <v>17</v>
      </c>
      <c r="E152" s="3">
        <v>11.0</v>
      </c>
      <c r="F152" s="3">
        <v>276962.0</v>
      </c>
      <c r="G152" s="3">
        <v>182719.0</v>
      </c>
    </row>
    <row r="153" ht="15.75" customHeight="1">
      <c r="A153" s="2">
        <v>45830.0</v>
      </c>
      <c r="B153" s="3" t="s">
        <v>19</v>
      </c>
      <c r="C153" s="3" t="s">
        <v>8</v>
      </c>
      <c r="D153" s="3" t="s">
        <v>17</v>
      </c>
      <c r="E153" s="3">
        <v>5.0</v>
      </c>
      <c r="F153" s="3">
        <v>32736.0</v>
      </c>
      <c r="G153" s="3">
        <v>68102.0</v>
      </c>
    </row>
    <row r="154" ht="15.75" customHeight="1">
      <c r="A154" s="2">
        <v>45829.0</v>
      </c>
      <c r="B154" s="3" t="s">
        <v>21</v>
      </c>
      <c r="C154" s="3" t="s">
        <v>22</v>
      </c>
      <c r="D154" s="3" t="s">
        <v>16</v>
      </c>
      <c r="E154" s="3">
        <v>13.0</v>
      </c>
      <c r="F154" s="3">
        <v>214250.0</v>
      </c>
      <c r="G154" s="3">
        <v>97234.0</v>
      </c>
    </row>
    <row r="155" ht="15.75" customHeight="1">
      <c r="A155" s="2">
        <v>45821.0</v>
      </c>
      <c r="B155" s="3" t="s">
        <v>21</v>
      </c>
      <c r="C155" s="3" t="s">
        <v>15</v>
      </c>
      <c r="D155" s="3" t="s">
        <v>17</v>
      </c>
      <c r="E155" s="3">
        <v>2.0</v>
      </c>
      <c r="F155" s="3">
        <v>193701.0</v>
      </c>
      <c r="G155" s="3">
        <v>51968.0</v>
      </c>
    </row>
    <row r="156" ht="15.75" customHeight="1">
      <c r="A156" s="2">
        <v>45836.0</v>
      </c>
      <c r="B156" s="3" t="s">
        <v>21</v>
      </c>
      <c r="C156" s="3" t="s">
        <v>8</v>
      </c>
      <c r="D156" s="3" t="s">
        <v>9</v>
      </c>
      <c r="E156" s="3">
        <v>13.0</v>
      </c>
      <c r="F156" s="3">
        <v>296343.0</v>
      </c>
      <c r="G156" s="3">
        <v>23473.0</v>
      </c>
    </row>
    <row r="157" ht="15.75" customHeight="1">
      <c r="A157" s="2">
        <v>45824.0</v>
      </c>
      <c r="B157" s="3" t="s">
        <v>10</v>
      </c>
      <c r="C157" s="3" t="s">
        <v>8</v>
      </c>
      <c r="D157" s="3" t="s">
        <v>17</v>
      </c>
      <c r="E157" s="3">
        <v>11.0</v>
      </c>
      <c r="F157" s="3">
        <v>191366.0</v>
      </c>
      <c r="G157" s="3">
        <v>22170.0</v>
      </c>
    </row>
    <row r="158" ht="15.75" customHeight="1">
      <c r="A158" s="2">
        <v>45818.0</v>
      </c>
      <c r="B158" s="3" t="s">
        <v>7</v>
      </c>
      <c r="C158" s="3" t="s">
        <v>8</v>
      </c>
      <c r="D158" s="3" t="s">
        <v>20</v>
      </c>
      <c r="E158" s="3">
        <v>10.0</v>
      </c>
      <c r="F158" s="3">
        <v>172881.0</v>
      </c>
      <c r="G158" s="3">
        <v>192803.0</v>
      </c>
    </row>
    <row r="159" ht="15.75" customHeight="1">
      <c r="A159" s="2">
        <v>45836.0</v>
      </c>
      <c r="B159" s="3" t="s">
        <v>7</v>
      </c>
      <c r="C159" s="3" t="s">
        <v>13</v>
      </c>
      <c r="D159" s="3" t="s">
        <v>16</v>
      </c>
      <c r="E159" s="3">
        <v>6.0</v>
      </c>
      <c r="F159" s="3">
        <v>257504.0</v>
      </c>
      <c r="G159" s="3">
        <v>130271.0</v>
      </c>
    </row>
    <row r="160" ht="15.75" customHeight="1">
      <c r="A160" s="2">
        <v>45826.0</v>
      </c>
      <c r="B160" s="3" t="s">
        <v>19</v>
      </c>
      <c r="C160" s="3" t="s">
        <v>13</v>
      </c>
      <c r="D160" s="3" t="s">
        <v>20</v>
      </c>
      <c r="E160" s="3">
        <v>13.0</v>
      </c>
      <c r="F160" s="3">
        <v>57619.0</v>
      </c>
      <c r="G160" s="3">
        <v>235955.0</v>
      </c>
    </row>
    <row r="161" ht="15.75" customHeight="1">
      <c r="A161" s="2">
        <v>45825.0</v>
      </c>
      <c r="B161" s="3" t="s">
        <v>19</v>
      </c>
      <c r="C161" s="3" t="s">
        <v>11</v>
      </c>
      <c r="D161" s="3" t="s">
        <v>20</v>
      </c>
      <c r="E161" s="3">
        <v>12.0</v>
      </c>
      <c r="F161" s="3">
        <v>267260.0</v>
      </c>
      <c r="G161" s="3">
        <v>160316.0</v>
      </c>
    </row>
    <row r="162" ht="15.75" customHeight="1">
      <c r="A162" s="4">
        <v>45817.0</v>
      </c>
      <c r="B162" s="3" t="s">
        <v>21</v>
      </c>
      <c r="C162" s="3" t="s">
        <v>22</v>
      </c>
      <c r="D162" s="3" t="s">
        <v>16</v>
      </c>
      <c r="E162" s="3">
        <v>11.0</v>
      </c>
      <c r="F162" s="3">
        <v>46030.0</v>
      </c>
      <c r="G162" s="3">
        <v>226481.0</v>
      </c>
    </row>
    <row r="163" ht="15.75" customHeight="1">
      <c r="A163" s="4">
        <v>45817.0</v>
      </c>
      <c r="B163" s="3" t="s">
        <v>21</v>
      </c>
      <c r="C163" s="3" t="s">
        <v>22</v>
      </c>
      <c r="D163" s="3" t="s">
        <v>14</v>
      </c>
      <c r="E163" s="3">
        <v>15.0</v>
      </c>
      <c r="F163" s="3">
        <v>165944.0</v>
      </c>
      <c r="G163" s="3">
        <v>89608.0</v>
      </c>
    </row>
    <row r="164" ht="15.75" customHeight="1">
      <c r="A164" s="2">
        <v>45837.0</v>
      </c>
      <c r="B164" s="3" t="s">
        <v>10</v>
      </c>
      <c r="C164" s="3" t="s">
        <v>8</v>
      </c>
      <c r="D164" s="3" t="s">
        <v>9</v>
      </c>
      <c r="E164" s="3">
        <v>3.0</v>
      </c>
      <c r="F164" s="3">
        <v>264993.0</v>
      </c>
      <c r="G164" s="3">
        <v>182532.0</v>
      </c>
    </row>
    <row r="165" ht="15.75" customHeight="1">
      <c r="A165" s="2">
        <v>45827.0</v>
      </c>
      <c r="B165" s="3" t="s">
        <v>12</v>
      </c>
      <c r="C165" s="3" t="s">
        <v>15</v>
      </c>
      <c r="D165" s="3" t="s">
        <v>20</v>
      </c>
      <c r="E165" s="3">
        <v>13.0</v>
      </c>
      <c r="F165" s="3">
        <v>100525.0</v>
      </c>
      <c r="G165" s="3">
        <v>101713.0</v>
      </c>
    </row>
    <row r="166" ht="15.75" customHeight="1">
      <c r="A166" s="2">
        <v>45818.0</v>
      </c>
      <c r="B166" s="3" t="s">
        <v>19</v>
      </c>
      <c r="C166" s="3" t="s">
        <v>22</v>
      </c>
      <c r="D166" s="3" t="s">
        <v>16</v>
      </c>
      <c r="E166" s="3">
        <v>5.0</v>
      </c>
      <c r="F166" s="3">
        <v>31580.0</v>
      </c>
      <c r="G166" s="3">
        <v>217235.0</v>
      </c>
    </row>
    <row r="167" ht="15.75" customHeight="1">
      <c r="A167" s="2">
        <v>45826.0</v>
      </c>
      <c r="B167" s="3" t="s">
        <v>19</v>
      </c>
      <c r="C167" s="3" t="s">
        <v>8</v>
      </c>
      <c r="D167" s="3" t="s">
        <v>17</v>
      </c>
      <c r="E167" s="3">
        <v>14.0</v>
      </c>
      <c r="F167" s="3">
        <v>52458.0</v>
      </c>
      <c r="G167" s="3">
        <v>115788.0</v>
      </c>
    </row>
    <row r="168" ht="15.75" customHeight="1">
      <c r="A168" s="2">
        <v>45834.0</v>
      </c>
      <c r="B168" s="3" t="s">
        <v>21</v>
      </c>
      <c r="C168" s="3" t="s">
        <v>13</v>
      </c>
      <c r="D168" s="3" t="s">
        <v>14</v>
      </c>
      <c r="E168" s="3">
        <v>8.0</v>
      </c>
      <c r="F168" s="3">
        <v>45058.0</v>
      </c>
      <c r="G168" s="3">
        <v>161714.0</v>
      </c>
    </row>
    <row r="169" ht="15.75" customHeight="1">
      <c r="A169" s="2">
        <v>45838.0</v>
      </c>
      <c r="B169" s="3" t="s">
        <v>12</v>
      </c>
      <c r="C169" s="3" t="s">
        <v>8</v>
      </c>
      <c r="D169" s="3" t="s">
        <v>16</v>
      </c>
      <c r="E169" s="3">
        <v>11.0</v>
      </c>
      <c r="F169" s="3">
        <v>100713.0</v>
      </c>
      <c r="G169" s="3">
        <v>38888.0</v>
      </c>
    </row>
    <row r="170" ht="15.75" customHeight="1">
      <c r="A170" s="2">
        <v>45836.0</v>
      </c>
      <c r="B170" s="3" t="s">
        <v>7</v>
      </c>
      <c r="C170" s="3" t="s">
        <v>18</v>
      </c>
      <c r="D170" s="3" t="s">
        <v>17</v>
      </c>
      <c r="E170" s="3">
        <v>5.0</v>
      </c>
      <c r="F170" s="3">
        <v>255528.0</v>
      </c>
      <c r="G170" s="3">
        <v>238497.0</v>
      </c>
    </row>
    <row r="171" ht="15.75" customHeight="1">
      <c r="A171" s="4">
        <v>45816.0</v>
      </c>
      <c r="B171" s="3" t="s">
        <v>7</v>
      </c>
      <c r="C171" s="3" t="s">
        <v>11</v>
      </c>
      <c r="D171" s="3" t="s">
        <v>9</v>
      </c>
      <c r="E171" s="3">
        <v>1.0</v>
      </c>
      <c r="F171" s="3">
        <v>55517.0</v>
      </c>
      <c r="G171" s="3">
        <v>57940.0</v>
      </c>
    </row>
    <row r="172" ht="15.75" customHeight="1">
      <c r="A172" s="2">
        <v>45821.0</v>
      </c>
      <c r="B172" s="3" t="s">
        <v>19</v>
      </c>
      <c r="C172" s="3" t="s">
        <v>22</v>
      </c>
      <c r="D172" s="3" t="s">
        <v>20</v>
      </c>
      <c r="E172" s="3">
        <v>10.0</v>
      </c>
      <c r="F172" s="3">
        <v>296042.0</v>
      </c>
      <c r="G172" s="3">
        <v>229834.0</v>
      </c>
    </row>
    <row r="173" ht="15.75" customHeight="1">
      <c r="A173" s="4">
        <v>45817.0</v>
      </c>
      <c r="B173" s="3" t="s">
        <v>10</v>
      </c>
      <c r="C173" s="3" t="s">
        <v>18</v>
      </c>
      <c r="D173" s="3" t="s">
        <v>16</v>
      </c>
      <c r="E173" s="3">
        <v>8.0</v>
      </c>
      <c r="F173" s="3">
        <v>97449.0</v>
      </c>
      <c r="G173" s="3">
        <v>24709.0</v>
      </c>
    </row>
    <row r="174" ht="15.75" customHeight="1">
      <c r="A174" s="4">
        <v>45812.0</v>
      </c>
      <c r="B174" s="3" t="s">
        <v>7</v>
      </c>
      <c r="C174" s="3" t="s">
        <v>18</v>
      </c>
      <c r="D174" s="3" t="s">
        <v>16</v>
      </c>
      <c r="E174" s="3">
        <v>13.0</v>
      </c>
      <c r="F174" s="3">
        <v>124516.0</v>
      </c>
      <c r="G174" s="3">
        <v>176329.0</v>
      </c>
    </row>
    <row r="175" ht="15.75" customHeight="1">
      <c r="A175" s="2">
        <v>45836.0</v>
      </c>
      <c r="B175" s="3" t="s">
        <v>21</v>
      </c>
      <c r="C175" s="3" t="s">
        <v>22</v>
      </c>
      <c r="D175" s="3" t="s">
        <v>17</v>
      </c>
      <c r="E175" s="3">
        <v>3.0</v>
      </c>
      <c r="F175" s="3">
        <v>83965.0</v>
      </c>
      <c r="G175" s="3">
        <v>216093.0</v>
      </c>
    </row>
    <row r="176" ht="15.75" customHeight="1">
      <c r="A176" s="4">
        <v>45814.0</v>
      </c>
      <c r="B176" s="3" t="s">
        <v>21</v>
      </c>
      <c r="C176" s="3" t="s">
        <v>13</v>
      </c>
      <c r="D176" s="3" t="s">
        <v>14</v>
      </c>
      <c r="E176" s="3">
        <v>13.0</v>
      </c>
      <c r="F176" s="3">
        <v>250756.0</v>
      </c>
      <c r="G176" s="3">
        <v>107223.0</v>
      </c>
    </row>
    <row r="177" ht="15.75" customHeight="1">
      <c r="A177" s="4">
        <v>45814.0</v>
      </c>
      <c r="B177" s="3" t="s">
        <v>19</v>
      </c>
      <c r="C177" s="3" t="s">
        <v>18</v>
      </c>
      <c r="D177" s="3" t="s">
        <v>14</v>
      </c>
      <c r="E177" s="3">
        <v>7.0</v>
      </c>
      <c r="F177" s="3">
        <v>237376.0</v>
      </c>
      <c r="G177" s="3">
        <v>165772.0</v>
      </c>
    </row>
    <row r="178" ht="15.75" customHeight="1">
      <c r="A178" s="2">
        <v>45819.0</v>
      </c>
      <c r="B178" s="3" t="s">
        <v>21</v>
      </c>
      <c r="C178" s="3" t="s">
        <v>8</v>
      </c>
      <c r="D178" s="3" t="s">
        <v>17</v>
      </c>
      <c r="E178" s="3">
        <v>12.0</v>
      </c>
      <c r="F178" s="3">
        <v>134460.0</v>
      </c>
      <c r="G178" s="3">
        <v>41457.0</v>
      </c>
    </row>
    <row r="179" ht="15.75" customHeight="1">
      <c r="A179" s="4">
        <v>45813.0</v>
      </c>
      <c r="B179" s="3" t="s">
        <v>21</v>
      </c>
      <c r="C179" s="3" t="s">
        <v>11</v>
      </c>
      <c r="D179" s="3" t="s">
        <v>14</v>
      </c>
      <c r="E179" s="3">
        <v>6.0</v>
      </c>
      <c r="F179" s="3">
        <v>30503.0</v>
      </c>
      <c r="G179" s="3">
        <v>153813.0</v>
      </c>
    </row>
    <row r="180" ht="15.75" customHeight="1">
      <c r="A180" s="2">
        <v>45837.0</v>
      </c>
      <c r="B180" s="3" t="s">
        <v>21</v>
      </c>
      <c r="C180" s="3" t="s">
        <v>15</v>
      </c>
      <c r="D180" s="3" t="s">
        <v>17</v>
      </c>
      <c r="E180" s="3">
        <v>13.0</v>
      </c>
      <c r="F180" s="3">
        <v>82446.0</v>
      </c>
      <c r="G180" s="3">
        <v>236358.0</v>
      </c>
    </row>
    <row r="181" ht="15.75" customHeight="1">
      <c r="A181" s="2">
        <v>45828.0</v>
      </c>
      <c r="B181" s="3" t="s">
        <v>10</v>
      </c>
      <c r="C181" s="3" t="s">
        <v>15</v>
      </c>
      <c r="D181" s="3" t="s">
        <v>16</v>
      </c>
      <c r="E181" s="3">
        <v>10.0</v>
      </c>
      <c r="F181" s="3">
        <v>100509.0</v>
      </c>
      <c r="G181" s="3">
        <v>214843.0</v>
      </c>
    </row>
    <row r="182" ht="15.75" customHeight="1">
      <c r="A182" s="2">
        <v>45818.0</v>
      </c>
      <c r="B182" s="3" t="s">
        <v>12</v>
      </c>
      <c r="C182" s="3" t="s">
        <v>15</v>
      </c>
      <c r="D182" s="3" t="s">
        <v>20</v>
      </c>
      <c r="E182" s="3">
        <v>10.0</v>
      </c>
      <c r="F182" s="3">
        <v>35231.0</v>
      </c>
      <c r="G182" s="3">
        <v>200483.0</v>
      </c>
    </row>
    <row r="183" ht="15.75" customHeight="1">
      <c r="A183" s="2">
        <v>45835.0</v>
      </c>
      <c r="B183" s="3" t="s">
        <v>12</v>
      </c>
      <c r="C183" s="3" t="s">
        <v>13</v>
      </c>
      <c r="D183" s="3" t="s">
        <v>16</v>
      </c>
      <c r="E183" s="3">
        <v>5.0</v>
      </c>
      <c r="F183" s="3">
        <v>155498.0</v>
      </c>
      <c r="G183" s="3">
        <v>142964.0</v>
      </c>
    </row>
    <row r="184" ht="15.75" customHeight="1">
      <c r="A184" s="2">
        <v>45833.0</v>
      </c>
      <c r="B184" s="3" t="s">
        <v>21</v>
      </c>
      <c r="C184" s="3" t="s">
        <v>13</v>
      </c>
      <c r="D184" s="3" t="s">
        <v>20</v>
      </c>
      <c r="E184" s="3">
        <v>9.0</v>
      </c>
      <c r="F184" s="3">
        <v>100181.0</v>
      </c>
      <c r="G184" s="3">
        <v>203945.0</v>
      </c>
    </row>
    <row r="185" ht="15.75" customHeight="1">
      <c r="A185" s="2">
        <v>45823.0</v>
      </c>
      <c r="B185" s="3" t="s">
        <v>12</v>
      </c>
      <c r="C185" s="3" t="s">
        <v>15</v>
      </c>
      <c r="D185" s="3" t="s">
        <v>9</v>
      </c>
      <c r="E185" s="3">
        <v>15.0</v>
      </c>
      <c r="F185" s="3">
        <v>133707.0</v>
      </c>
      <c r="G185" s="3">
        <v>94316.0</v>
      </c>
    </row>
    <row r="186" ht="15.75" customHeight="1">
      <c r="A186" s="2">
        <v>45819.0</v>
      </c>
      <c r="B186" s="3" t="s">
        <v>12</v>
      </c>
      <c r="C186" s="3" t="s">
        <v>18</v>
      </c>
      <c r="D186" s="3" t="s">
        <v>14</v>
      </c>
      <c r="E186" s="3">
        <v>7.0</v>
      </c>
      <c r="F186" s="3">
        <v>93575.0</v>
      </c>
      <c r="G186" s="3">
        <v>85035.0</v>
      </c>
    </row>
    <row r="187" ht="15.75" customHeight="1">
      <c r="A187" s="2">
        <v>45826.0</v>
      </c>
      <c r="B187" s="3" t="s">
        <v>7</v>
      </c>
      <c r="C187" s="3" t="s">
        <v>15</v>
      </c>
      <c r="D187" s="3" t="s">
        <v>20</v>
      </c>
      <c r="E187" s="3">
        <v>15.0</v>
      </c>
      <c r="F187" s="3">
        <v>68952.0</v>
      </c>
      <c r="G187" s="3">
        <v>141439.0</v>
      </c>
    </row>
    <row r="188" ht="15.75" customHeight="1">
      <c r="A188" s="2">
        <v>45831.0</v>
      </c>
      <c r="B188" s="3" t="s">
        <v>7</v>
      </c>
      <c r="C188" s="3" t="s">
        <v>11</v>
      </c>
      <c r="D188" s="3" t="s">
        <v>16</v>
      </c>
      <c r="E188" s="3">
        <v>12.0</v>
      </c>
      <c r="F188" s="3">
        <v>25802.0</v>
      </c>
      <c r="G188" s="3">
        <v>247089.0</v>
      </c>
    </row>
    <row r="189" ht="15.75" customHeight="1">
      <c r="A189" s="2">
        <v>45824.0</v>
      </c>
      <c r="B189" s="3" t="s">
        <v>21</v>
      </c>
      <c r="C189" s="3" t="s">
        <v>18</v>
      </c>
      <c r="D189" s="3" t="s">
        <v>14</v>
      </c>
      <c r="E189" s="3">
        <v>9.0</v>
      </c>
      <c r="F189" s="3">
        <v>143994.0</v>
      </c>
      <c r="G189" s="3">
        <v>227015.0</v>
      </c>
    </row>
    <row r="190" ht="15.75" customHeight="1">
      <c r="A190" s="4">
        <v>45810.0</v>
      </c>
      <c r="B190" s="3" t="s">
        <v>7</v>
      </c>
      <c r="C190" s="3" t="s">
        <v>15</v>
      </c>
      <c r="D190" s="3" t="s">
        <v>9</v>
      </c>
      <c r="E190" s="3">
        <v>9.0</v>
      </c>
      <c r="F190" s="3">
        <v>146715.0</v>
      </c>
      <c r="G190" s="3">
        <v>131846.0</v>
      </c>
    </row>
    <row r="191" ht="15.75" customHeight="1">
      <c r="A191" s="2">
        <v>45828.0</v>
      </c>
      <c r="B191" s="3" t="s">
        <v>19</v>
      </c>
      <c r="C191" s="3" t="s">
        <v>22</v>
      </c>
      <c r="D191" s="3" t="s">
        <v>9</v>
      </c>
      <c r="E191" s="3">
        <v>2.0</v>
      </c>
      <c r="F191" s="3">
        <v>77828.0</v>
      </c>
      <c r="G191" s="3">
        <v>145154.0</v>
      </c>
    </row>
    <row r="192" ht="15.75" customHeight="1">
      <c r="A192" s="2">
        <v>45830.0</v>
      </c>
      <c r="B192" s="3" t="s">
        <v>12</v>
      </c>
      <c r="C192" s="3" t="s">
        <v>15</v>
      </c>
      <c r="D192" s="3" t="s">
        <v>9</v>
      </c>
      <c r="E192" s="3">
        <v>8.0</v>
      </c>
      <c r="F192" s="3">
        <v>275201.0</v>
      </c>
      <c r="G192" s="3">
        <v>196752.0</v>
      </c>
    </row>
    <row r="193" ht="15.75" customHeight="1">
      <c r="A193" s="2">
        <v>45826.0</v>
      </c>
      <c r="B193" s="3" t="s">
        <v>10</v>
      </c>
      <c r="C193" s="3" t="s">
        <v>22</v>
      </c>
      <c r="D193" s="3" t="s">
        <v>14</v>
      </c>
      <c r="E193" s="3">
        <v>15.0</v>
      </c>
      <c r="F193" s="3">
        <v>96626.0</v>
      </c>
      <c r="G193" s="3">
        <v>214407.0</v>
      </c>
    </row>
    <row r="194" ht="15.75" customHeight="1">
      <c r="A194" s="4">
        <v>45815.0</v>
      </c>
      <c r="B194" s="3" t="s">
        <v>10</v>
      </c>
      <c r="C194" s="3" t="s">
        <v>13</v>
      </c>
      <c r="D194" s="3" t="s">
        <v>17</v>
      </c>
      <c r="E194" s="3">
        <v>15.0</v>
      </c>
      <c r="F194" s="3">
        <v>126398.0</v>
      </c>
      <c r="G194" s="3">
        <v>39469.0</v>
      </c>
    </row>
    <row r="195" ht="15.75" customHeight="1">
      <c r="A195" s="4">
        <v>45809.0</v>
      </c>
      <c r="B195" s="3" t="s">
        <v>12</v>
      </c>
      <c r="C195" s="3" t="s">
        <v>15</v>
      </c>
      <c r="D195" s="3" t="s">
        <v>14</v>
      </c>
      <c r="E195" s="3">
        <v>4.0</v>
      </c>
      <c r="F195" s="3">
        <v>242857.0</v>
      </c>
      <c r="G195" s="3">
        <v>69041.0</v>
      </c>
    </row>
    <row r="196" ht="15.75" customHeight="1">
      <c r="A196" s="4">
        <v>45817.0</v>
      </c>
      <c r="B196" s="3" t="s">
        <v>21</v>
      </c>
      <c r="C196" s="3" t="s">
        <v>22</v>
      </c>
      <c r="D196" s="3" t="s">
        <v>17</v>
      </c>
      <c r="E196" s="3">
        <v>3.0</v>
      </c>
      <c r="F196" s="3">
        <v>177276.0</v>
      </c>
      <c r="G196" s="3">
        <v>94976.0</v>
      </c>
    </row>
    <row r="197" ht="15.75" customHeight="1">
      <c r="A197" s="2">
        <v>45822.0</v>
      </c>
      <c r="B197" s="3" t="s">
        <v>10</v>
      </c>
      <c r="C197" s="3" t="s">
        <v>13</v>
      </c>
      <c r="D197" s="3" t="s">
        <v>17</v>
      </c>
      <c r="E197" s="3">
        <v>2.0</v>
      </c>
      <c r="F197" s="3">
        <v>100244.0</v>
      </c>
      <c r="G197" s="3">
        <v>194144.0</v>
      </c>
    </row>
    <row r="198" ht="15.75" customHeight="1">
      <c r="A198" s="2">
        <v>45829.0</v>
      </c>
      <c r="B198" s="3" t="s">
        <v>10</v>
      </c>
      <c r="C198" s="3" t="s">
        <v>11</v>
      </c>
      <c r="D198" s="3" t="s">
        <v>9</v>
      </c>
      <c r="E198" s="3">
        <v>7.0</v>
      </c>
      <c r="F198" s="3">
        <v>140408.0</v>
      </c>
      <c r="G198" s="3">
        <v>127906.0</v>
      </c>
    </row>
    <row r="199" ht="15.75" customHeight="1">
      <c r="A199" s="2">
        <v>45836.0</v>
      </c>
      <c r="B199" s="3" t="s">
        <v>12</v>
      </c>
      <c r="C199" s="3" t="s">
        <v>15</v>
      </c>
      <c r="D199" s="3" t="s">
        <v>14</v>
      </c>
      <c r="E199" s="3">
        <v>15.0</v>
      </c>
      <c r="F199" s="3">
        <v>248103.0</v>
      </c>
      <c r="G199" s="3">
        <v>234874.0</v>
      </c>
    </row>
    <row r="200" ht="15.75" customHeight="1">
      <c r="A200" s="2">
        <v>45828.0</v>
      </c>
      <c r="B200" s="3" t="s">
        <v>12</v>
      </c>
      <c r="C200" s="3" t="s">
        <v>15</v>
      </c>
      <c r="D200" s="3" t="s">
        <v>20</v>
      </c>
      <c r="E200" s="3">
        <v>1.0</v>
      </c>
      <c r="F200" s="3">
        <v>214110.0</v>
      </c>
      <c r="G200" s="3">
        <v>32405.0</v>
      </c>
    </row>
    <row r="201" ht="15.75" customHeight="1">
      <c r="A201" s="2">
        <v>45830.0</v>
      </c>
      <c r="B201" s="3" t="s">
        <v>19</v>
      </c>
      <c r="C201" s="3" t="s">
        <v>11</v>
      </c>
      <c r="D201" s="3" t="s">
        <v>17</v>
      </c>
      <c r="E201" s="3">
        <v>15.0</v>
      </c>
      <c r="F201" s="3">
        <v>285843.0</v>
      </c>
      <c r="G201" s="3">
        <v>230837.0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10.0"/>
    <col customWidth="1" min="3" max="3" width="12.57"/>
    <col customWidth="1" min="4" max="4" width="11.86"/>
    <col customWidth="1" min="5" max="5" width="12.86"/>
    <col customWidth="1" min="6" max="6" width="12.14"/>
    <col customWidth="1" min="7" max="7" width="10.71"/>
    <col customWidth="1" min="8" max="8" width="12.57"/>
    <col customWidth="1" min="9" max="26" width="8.7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7" t="s">
        <v>23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24</v>
      </c>
      <c r="B2" s="9" t="s">
        <v>7</v>
      </c>
      <c r="C2" s="9" t="s">
        <v>8</v>
      </c>
      <c r="D2" s="9" t="s">
        <v>9</v>
      </c>
      <c r="E2" s="9">
        <v>1.0</v>
      </c>
      <c r="F2" s="10">
        <v>172833.0</v>
      </c>
      <c r="G2" s="10">
        <v>136507.0</v>
      </c>
      <c r="H2" s="9" t="str">
        <f t="shared" ref="H2:H201" si="1">IF(F2&gt;G2,"ACHIEVED","NOT ACHIEVED")</f>
        <v>ACHIEVED</v>
      </c>
    </row>
    <row r="3">
      <c r="A3" s="9" t="s">
        <v>25</v>
      </c>
      <c r="B3" s="9" t="s">
        <v>10</v>
      </c>
      <c r="C3" s="9" t="s">
        <v>11</v>
      </c>
      <c r="D3" s="9" t="s">
        <v>9</v>
      </c>
      <c r="E3" s="9">
        <v>1.0</v>
      </c>
      <c r="F3" s="10">
        <v>89721.0</v>
      </c>
      <c r="G3" s="10">
        <v>98262.0</v>
      </c>
      <c r="H3" s="9" t="str">
        <f t="shared" si="1"/>
        <v>NOT ACHIEVED</v>
      </c>
      <c r="L3" s="11" t="s">
        <v>2</v>
      </c>
      <c r="N3" s="12" t="s">
        <v>26</v>
      </c>
      <c r="O3" s="13"/>
    </row>
    <row r="4">
      <c r="A4" s="9" t="s">
        <v>24</v>
      </c>
      <c r="B4" s="9" t="s">
        <v>12</v>
      </c>
      <c r="C4" s="9" t="s">
        <v>13</v>
      </c>
      <c r="D4" s="9" t="s">
        <v>14</v>
      </c>
      <c r="E4" s="9">
        <v>2.0</v>
      </c>
      <c r="F4" s="10">
        <v>66076.0</v>
      </c>
      <c r="G4" s="10">
        <v>158456.0</v>
      </c>
      <c r="H4" s="9" t="str">
        <f t="shared" si="1"/>
        <v>NOT ACHIEVED</v>
      </c>
      <c r="L4" s="14" t="s">
        <v>13</v>
      </c>
      <c r="N4" s="15" t="str">
        <f t="array" ref="N4">XLOOKUP(L4,C:C,B:B,"NOT FOUND")</f>
        <v>Delhi</v>
      </c>
    </row>
    <row r="5">
      <c r="A5" s="9" t="s">
        <v>27</v>
      </c>
      <c r="B5" s="9" t="s">
        <v>10</v>
      </c>
      <c r="C5" s="9" t="s">
        <v>15</v>
      </c>
      <c r="D5" s="9" t="s">
        <v>16</v>
      </c>
      <c r="E5" s="9">
        <v>11.0</v>
      </c>
      <c r="F5" s="10">
        <v>182478.0</v>
      </c>
      <c r="G5" s="10">
        <v>73369.0</v>
      </c>
      <c r="H5" s="9" t="str">
        <f t="shared" si="1"/>
        <v>ACHIEVED</v>
      </c>
    </row>
    <row r="6">
      <c r="A6" s="9" t="s">
        <v>28</v>
      </c>
      <c r="B6" s="9" t="s">
        <v>7</v>
      </c>
      <c r="C6" s="9" t="s">
        <v>13</v>
      </c>
      <c r="D6" s="9" t="s">
        <v>17</v>
      </c>
      <c r="E6" s="9">
        <v>14.0</v>
      </c>
      <c r="F6" s="10">
        <v>111785.0</v>
      </c>
      <c r="G6" s="10">
        <v>141493.0</v>
      </c>
      <c r="H6" s="9" t="str">
        <f t="shared" si="1"/>
        <v>NOT ACHIEVED</v>
      </c>
    </row>
    <row r="7">
      <c r="A7" s="9" t="s">
        <v>29</v>
      </c>
      <c r="B7" s="9" t="s">
        <v>10</v>
      </c>
      <c r="C7" s="9" t="s">
        <v>18</v>
      </c>
      <c r="D7" s="9" t="s">
        <v>14</v>
      </c>
      <c r="E7" s="9">
        <v>1.0</v>
      </c>
      <c r="F7" s="10">
        <v>223674.0</v>
      </c>
      <c r="G7" s="10">
        <v>205848.0</v>
      </c>
      <c r="H7" s="9" t="str">
        <f t="shared" si="1"/>
        <v>ACHIEVED</v>
      </c>
    </row>
    <row r="8">
      <c r="A8" s="9" t="s">
        <v>30</v>
      </c>
      <c r="B8" s="9" t="s">
        <v>10</v>
      </c>
      <c r="C8" s="9" t="s">
        <v>11</v>
      </c>
      <c r="D8" s="9" t="s">
        <v>9</v>
      </c>
      <c r="E8" s="9">
        <v>6.0</v>
      </c>
      <c r="F8" s="10">
        <v>94595.0</v>
      </c>
      <c r="G8" s="10">
        <v>32659.0</v>
      </c>
      <c r="H8" s="9" t="str">
        <f t="shared" si="1"/>
        <v>ACHIEVED</v>
      </c>
      <c r="L8" s="16" t="s">
        <v>3</v>
      </c>
      <c r="M8" s="17" t="s">
        <v>5</v>
      </c>
    </row>
    <row r="9">
      <c r="A9" s="9" t="s">
        <v>31</v>
      </c>
      <c r="B9" s="9" t="s">
        <v>19</v>
      </c>
      <c r="C9" s="9" t="s">
        <v>8</v>
      </c>
      <c r="D9" s="9" t="s">
        <v>9</v>
      </c>
      <c r="E9" s="9">
        <v>9.0</v>
      </c>
      <c r="F9" s="10">
        <v>22651.0</v>
      </c>
      <c r="G9" s="10">
        <v>48035.0</v>
      </c>
      <c r="H9" s="9" t="str">
        <f t="shared" si="1"/>
        <v>NOT ACHIEVED</v>
      </c>
      <c r="L9" s="18" t="s">
        <v>17</v>
      </c>
      <c r="M9" s="19">
        <f>VLOOKUP(L9,D:F,3,FALSE)</f>
        <v>111785</v>
      </c>
    </row>
    <row r="10">
      <c r="A10" s="9" t="s">
        <v>32</v>
      </c>
      <c r="B10" s="9" t="s">
        <v>12</v>
      </c>
      <c r="C10" s="9" t="s">
        <v>15</v>
      </c>
      <c r="D10" s="9" t="s">
        <v>20</v>
      </c>
      <c r="E10" s="9">
        <v>3.0</v>
      </c>
      <c r="F10" s="10">
        <v>234083.0</v>
      </c>
      <c r="G10" s="10">
        <v>107384.0</v>
      </c>
      <c r="H10" s="9" t="str">
        <f t="shared" si="1"/>
        <v>ACHIEVED</v>
      </c>
    </row>
    <row r="11">
      <c r="A11" s="9" t="s">
        <v>33</v>
      </c>
      <c r="B11" s="9" t="s">
        <v>21</v>
      </c>
      <c r="C11" s="9" t="s">
        <v>13</v>
      </c>
      <c r="D11" s="9" t="s">
        <v>9</v>
      </c>
      <c r="E11" s="9">
        <v>11.0</v>
      </c>
      <c r="F11" s="10">
        <v>95320.0</v>
      </c>
      <c r="G11" s="10">
        <v>112433.0</v>
      </c>
      <c r="H11" s="9" t="str">
        <f t="shared" si="1"/>
        <v>NOT ACHIEVED</v>
      </c>
    </row>
    <row r="12">
      <c r="A12" s="9" t="s">
        <v>34</v>
      </c>
      <c r="B12" s="9" t="s">
        <v>10</v>
      </c>
      <c r="C12" s="9" t="s">
        <v>11</v>
      </c>
      <c r="D12" s="9" t="s">
        <v>17</v>
      </c>
      <c r="E12" s="9">
        <v>4.0</v>
      </c>
      <c r="F12" s="10">
        <v>203997.0</v>
      </c>
      <c r="G12" s="10">
        <v>212566.0</v>
      </c>
      <c r="H12" s="9" t="str">
        <f t="shared" si="1"/>
        <v>NOT ACHIEVED</v>
      </c>
    </row>
    <row r="13">
      <c r="A13" s="9" t="s">
        <v>25</v>
      </c>
      <c r="B13" s="9" t="s">
        <v>21</v>
      </c>
      <c r="C13" s="9" t="s">
        <v>13</v>
      </c>
      <c r="D13" s="9" t="s">
        <v>16</v>
      </c>
      <c r="E13" s="9">
        <v>7.0</v>
      </c>
      <c r="F13" s="10">
        <v>164407.0</v>
      </c>
      <c r="G13" s="10">
        <v>163964.0</v>
      </c>
      <c r="H13" s="9" t="str">
        <f t="shared" si="1"/>
        <v>ACHIEVED</v>
      </c>
      <c r="L13" s="20" t="s">
        <v>35</v>
      </c>
      <c r="M13" s="21" t="s">
        <v>36</v>
      </c>
    </row>
    <row r="14">
      <c r="A14" s="9" t="s">
        <v>37</v>
      </c>
      <c r="B14" s="9" t="s">
        <v>21</v>
      </c>
      <c r="C14" s="9" t="s">
        <v>22</v>
      </c>
      <c r="D14" s="9" t="s">
        <v>16</v>
      </c>
      <c r="E14" s="9">
        <v>12.0</v>
      </c>
      <c r="F14" s="10">
        <v>69949.0</v>
      </c>
      <c r="G14" s="10">
        <v>147371.0</v>
      </c>
      <c r="H14" s="9" t="str">
        <f t="shared" si="1"/>
        <v>NOT ACHIEVED</v>
      </c>
      <c r="L14" s="22" t="s">
        <v>21</v>
      </c>
      <c r="M14" s="23">
        <f>SUMIF(B:B,L14,F:F)</f>
        <v>6393878</v>
      </c>
    </row>
    <row r="15">
      <c r="A15" s="9" t="s">
        <v>28</v>
      </c>
      <c r="B15" s="9" t="s">
        <v>19</v>
      </c>
      <c r="C15" s="9" t="s">
        <v>11</v>
      </c>
      <c r="D15" s="9" t="s">
        <v>17</v>
      </c>
      <c r="E15" s="9">
        <v>12.0</v>
      </c>
      <c r="F15" s="10">
        <v>166610.0</v>
      </c>
      <c r="G15" s="10">
        <v>94239.0</v>
      </c>
      <c r="H15" s="9" t="str">
        <f t="shared" si="1"/>
        <v>ACHIEVED</v>
      </c>
    </row>
    <row r="16">
      <c r="A16" s="9" t="s">
        <v>38</v>
      </c>
      <c r="B16" s="9" t="s">
        <v>21</v>
      </c>
      <c r="C16" s="9" t="s">
        <v>18</v>
      </c>
      <c r="D16" s="9" t="s">
        <v>17</v>
      </c>
      <c r="E16" s="9">
        <v>13.0</v>
      </c>
      <c r="F16" s="10">
        <v>18009.0</v>
      </c>
      <c r="G16" s="10">
        <v>122770.0</v>
      </c>
      <c r="H16" s="9" t="str">
        <f t="shared" si="1"/>
        <v>NOT ACHIEVED</v>
      </c>
    </row>
    <row r="17">
      <c r="A17" s="9" t="s">
        <v>39</v>
      </c>
      <c r="B17" s="9" t="s">
        <v>7</v>
      </c>
      <c r="C17" s="9" t="s">
        <v>11</v>
      </c>
      <c r="D17" s="9" t="s">
        <v>16</v>
      </c>
      <c r="E17" s="9">
        <v>5.0</v>
      </c>
      <c r="F17" s="10">
        <v>277979.0</v>
      </c>
      <c r="G17" s="10">
        <v>33964.0</v>
      </c>
      <c r="H17" s="9" t="str">
        <f t="shared" si="1"/>
        <v>ACHIEVED</v>
      </c>
    </row>
    <row r="18">
      <c r="A18" s="9" t="s">
        <v>40</v>
      </c>
      <c r="B18" s="9" t="s">
        <v>10</v>
      </c>
      <c r="C18" s="9" t="s">
        <v>11</v>
      </c>
      <c r="D18" s="9" t="s">
        <v>16</v>
      </c>
      <c r="E18" s="9">
        <v>4.0</v>
      </c>
      <c r="F18" s="10">
        <v>192287.0</v>
      </c>
      <c r="G18" s="10">
        <v>236333.0</v>
      </c>
      <c r="H18" s="9" t="str">
        <f t="shared" si="1"/>
        <v>NOT ACHIEVED</v>
      </c>
    </row>
    <row r="19">
      <c r="A19" s="9" t="s">
        <v>41</v>
      </c>
      <c r="B19" s="9" t="s">
        <v>21</v>
      </c>
      <c r="C19" s="9" t="s">
        <v>8</v>
      </c>
      <c r="D19" s="9" t="s">
        <v>16</v>
      </c>
      <c r="E19" s="9">
        <v>3.0</v>
      </c>
      <c r="F19" s="10">
        <v>201318.0</v>
      </c>
      <c r="G19" s="10">
        <v>114828.0</v>
      </c>
      <c r="H19" s="9" t="str">
        <f t="shared" si="1"/>
        <v>ACHIEVED</v>
      </c>
    </row>
    <row r="20">
      <c r="A20" s="9" t="s">
        <v>42</v>
      </c>
      <c r="B20" s="9" t="s">
        <v>12</v>
      </c>
      <c r="C20" s="9" t="s">
        <v>11</v>
      </c>
      <c r="D20" s="9" t="s">
        <v>17</v>
      </c>
      <c r="E20" s="9">
        <v>4.0</v>
      </c>
      <c r="F20" s="10">
        <v>222847.0</v>
      </c>
      <c r="G20" s="10">
        <v>172354.0</v>
      </c>
      <c r="H20" s="9" t="str">
        <f t="shared" si="1"/>
        <v>ACHIEVED</v>
      </c>
    </row>
    <row r="21" ht="15.75" customHeight="1">
      <c r="A21" s="9" t="s">
        <v>43</v>
      </c>
      <c r="B21" s="9" t="s">
        <v>12</v>
      </c>
      <c r="C21" s="9" t="s">
        <v>22</v>
      </c>
      <c r="D21" s="9" t="s">
        <v>16</v>
      </c>
      <c r="E21" s="9">
        <v>1.0</v>
      </c>
      <c r="F21" s="10">
        <v>97421.0</v>
      </c>
      <c r="G21" s="10">
        <v>248541.0</v>
      </c>
      <c r="H21" s="9" t="str">
        <f t="shared" si="1"/>
        <v>NOT ACHIEVED</v>
      </c>
    </row>
    <row r="22" ht="15.75" customHeight="1">
      <c r="A22" s="9" t="s">
        <v>33</v>
      </c>
      <c r="B22" s="9" t="s">
        <v>19</v>
      </c>
      <c r="C22" s="9" t="s">
        <v>13</v>
      </c>
      <c r="D22" s="9" t="s">
        <v>9</v>
      </c>
      <c r="E22" s="9">
        <v>2.0</v>
      </c>
      <c r="F22" s="10">
        <v>47151.0</v>
      </c>
      <c r="G22" s="10">
        <v>21061.0</v>
      </c>
      <c r="H22" s="9" t="str">
        <f t="shared" si="1"/>
        <v>ACHIEVED</v>
      </c>
    </row>
    <row r="23" ht="15.75" customHeight="1">
      <c r="A23" s="9" t="s">
        <v>40</v>
      </c>
      <c r="B23" s="9" t="s">
        <v>19</v>
      </c>
      <c r="C23" s="9" t="s">
        <v>22</v>
      </c>
      <c r="D23" s="9" t="s">
        <v>20</v>
      </c>
      <c r="E23" s="9">
        <v>10.0</v>
      </c>
      <c r="F23" s="10">
        <v>220758.0</v>
      </c>
      <c r="G23" s="10">
        <v>158322.0</v>
      </c>
      <c r="H23" s="9" t="str">
        <f t="shared" si="1"/>
        <v>ACHIEVED</v>
      </c>
    </row>
    <row r="24" ht="15.75" customHeight="1">
      <c r="A24" s="9" t="s">
        <v>34</v>
      </c>
      <c r="B24" s="9" t="s">
        <v>19</v>
      </c>
      <c r="C24" s="9" t="s">
        <v>22</v>
      </c>
      <c r="D24" s="9" t="s">
        <v>16</v>
      </c>
      <c r="E24" s="9">
        <v>1.0</v>
      </c>
      <c r="F24" s="10">
        <v>120826.0</v>
      </c>
      <c r="G24" s="10">
        <v>218178.0</v>
      </c>
      <c r="H24" s="9" t="str">
        <f t="shared" si="1"/>
        <v>NOT ACHIEVED</v>
      </c>
    </row>
    <row r="25" ht="15.75" customHeight="1">
      <c r="A25" s="9" t="s">
        <v>39</v>
      </c>
      <c r="B25" s="9" t="s">
        <v>7</v>
      </c>
      <c r="C25" s="9" t="s">
        <v>18</v>
      </c>
      <c r="D25" s="9" t="s">
        <v>9</v>
      </c>
      <c r="E25" s="9">
        <v>15.0</v>
      </c>
      <c r="F25" s="10">
        <v>298836.0</v>
      </c>
      <c r="G25" s="10">
        <v>202237.0</v>
      </c>
      <c r="H25" s="9" t="str">
        <f t="shared" si="1"/>
        <v>ACHIEVED</v>
      </c>
    </row>
    <row r="26" ht="15.75" customHeight="1">
      <c r="A26" s="9" t="s">
        <v>33</v>
      </c>
      <c r="B26" s="9" t="s">
        <v>10</v>
      </c>
      <c r="C26" s="9" t="s">
        <v>8</v>
      </c>
      <c r="D26" s="9" t="s">
        <v>14</v>
      </c>
      <c r="E26" s="9">
        <v>11.0</v>
      </c>
      <c r="F26" s="10">
        <v>272424.0</v>
      </c>
      <c r="G26" s="10">
        <v>88666.0</v>
      </c>
      <c r="H26" s="9" t="str">
        <f t="shared" si="1"/>
        <v>ACHIEVED</v>
      </c>
    </row>
    <row r="27" ht="15.75" customHeight="1">
      <c r="A27" s="9" t="s">
        <v>34</v>
      </c>
      <c r="B27" s="9" t="s">
        <v>7</v>
      </c>
      <c r="C27" s="9" t="s">
        <v>22</v>
      </c>
      <c r="D27" s="9" t="s">
        <v>17</v>
      </c>
      <c r="E27" s="9">
        <v>7.0</v>
      </c>
      <c r="F27" s="10">
        <v>298351.0</v>
      </c>
      <c r="G27" s="10">
        <v>199277.0</v>
      </c>
      <c r="H27" s="9" t="str">
        <f t="shared" si="1"/>
        <v>ACHIEVED</v>
      </c>
    </row>
    <row r="28" ht="15.75" customHeight="1">
      <c r="A28" s="9" t="s">
        <v>44</v>
      </c>
      <c r="B28" s="9" t="s">
        <v>7</v>
      </c>
      <c r="C28" s="9" t="s">
        <v>22</v>
      </c>
      <c r="D28" s="9" t="s">
        <v>17</v>
      </c>
      <c r="E28" s="9">
        <v>13.0</v>
      </c>
      <c r="F28" s="10">
        <v>277387.0</v>
      </c>
      <c r="G28" s="10">
        <v>248184.0</v>
      </c>
      <c r="H28" s="9" t="str">
        <f t="shared" si="1"/>
        <v>ACHIEVED</v>
      </c>
    </row>
    <row r="29" ht="15.75" customHeight="1">
      <c r="A29" s="9" t="s">
        <v>41</v>
      </c>
      <c r="B29" s="9" t="s">
        <v>19</v>
      </c>
      <c r="C29" s="9" t="s">
        <v>8</v>
      </c>
      <c r="D29" s="9" t="s">
        <v>14</v>
      </c>
      <c r="E29" s="9">
        <v>6.0</v>
      </c>
      <c r="F29" s="10">
        <v>177220.0</v>
      </c>
      <c r="G29" s="10">
        <v>83797.0</v>
      </c>
      <c r="H29" s="9" t="str">
        <f t="shared" si="1"/>
        <v>ACHIEVED</v>
      </c>
    </row>
    <row r="30" ht="15.75" customHeight="1">
      <c r="A30" s="9" t="s">
        <v>42</v>
      </c>
      <c r="B30" s="9" t="s">
        <v>19</v>
      </c>
      <c r="C30" s="9" t="s">
        <v>13</v>
      </c>
      <c r="D30" s="9" t="s">
        <v>20</v>
      </c>
      <c r="E30" s="9">
        <v>7.0</v>
      </c>
      <c r="F30" s="10">
        <v>157991.0</v>
      </c>
      <c r="G30" s="10">
        <v>66839.0</v>
      </c>
      <c r="H30" s="9" t="str">
        <f t="shared" si="1"/>
        <v>ACHIEVED</v>
      </c>
    </row>
    <row r="31" ht="15.75" customHeight="1">
      <c r="A31" s="9" t="s">
        <v>40</v>
      </c>
      <c r="B31" s="9" t="s">
        <v>10</v>
      </c>
      <c r="C31" s="9" t="s">
        <v>22</v>
      </c>
      <c r="D31" s="9" t="s">
        <v>9</v>
      </c>
      <c r="E31" s="9">
        <v>8.0</v>
      </c>
      <c r="F31" s="10">
        <v>78114.0</v>
      </c>
      <c r="G31" s="10">
        <v>161448.0</v>
      </c>
      <c r="H31" s="9" t="str">
        <f t="shared" si="1"/>
        <v>NOT ACHIEVED</v>
      </c>
    </row>
    <row r="32" ht="15.75" customHeight="1">
      <c r="A32" s="9" t="s">
        <v>41</v>
      </c>
      <c r="B32" s="9" t="s">
        <v>21</v>
      </c>
      <c r="C32" s="9" t="s">
        <v>18</v>
      </c>
      <c r="D32" s="9" t="s">
        <v>9</v>
      </c>
      <c r="E32" s="9">
        <v>13.0</v>
      </c>
      <c r="F32" s="10">
        <v>242888.0</v>
      </c>
      <c r="G32" s="10">
        <v>83438.0</v>
      </c>
      <c r="H32" s="9" t="str">
        <f t="shared" si="1"/>
        <v>ACHIEVED</v>
      </c>
    </row>
    <row r="33" ht="15.75" customHeight="1">
      <c r="A33" s="9" t="s">
        <v>43</v>
      </c>
      <c r="B33" s="9" t="s">
        <v>12</v>
      </c>
      <c r="C33" s="9" t="s">
        <v>22</v>
      </c>
      <c r="D33" s="9" t="s">
        <v>9</v>
      </c>
      <c r="E33" s="9">
        <v>14.0</v>
      </c>
      <c r="F33" s="10">
        <v>275111.0</v>
      </c>
      <c r="G33" s="10">
        <v>94216.0</v>
      </c>
      <c r="H33" s="9" t="str">
        <f t="shared" si="1"/>
        <v>ACHIEVED</v>
      </c>
    </row>
    <row r="34" ht="15.75" customHeight="1">
      <c r="A34" s="9" t="s">
        <v>45</v>
      </c>
      <c r="B34" s="9" t="s">
        <v>12</v>
      </c>
      <c r="C34" s="9" t="s">
        <v>11</v>
      </c>
      <c r="D34" s="9" t="s">
        <v>17</v>
      </c>
      <c r="E34" s="9">
        <v>5.0</v>
      </c>
      <c r="F34" s="10">
        <v>133134.0</v>
      </c>
      <c r="G34" s="10">
        <v>52464.0</v>
      </c>
      <c r="H34" s="9" t="str">
        <f t="shared" si="1"/>
        <v>ACHIEVED</v>
      </c>
    </row>
    <row r="35" ht="15.75" customHeight="1">
      <c r="A35" s="9" t="s">
        <v>38</v>
      </c>
      <c r="B35" s="9" t="s">
        <v>12</v>
      </c>
      <c r="C35" s="9" t="s">
        <v>15</v>
      </c>
      <c r="D35" s="9" t="s">
        <v>16</v>
      </c>
      <c r="E35" s="9">
        <v>4.0</v>
      </c>
      <c r="F35" s="10">
        <v>221361.0</v>
      </c>
      <c r="G35" s="10">
        <v>91650.0</v>
      </c>
      <c r="H35" s="9" t="str">
        <f t="shared" si="1"/>
        <v>ACHIEVED</v>
      </c>
    </row>
    <row r="36" ht="15.75" customHeight="1">
      <c r="A36" s="9" t="s">
        <v>38</v>
      </c>
      <c r="B36" s="9" t="s">
        <v>10</v>
      </c>
      <c r="C36" s="9" t="s">
        <v>13</v>
      </c>
      <c r="D36" s="9" t="s">
        <v>9</v>
      </c>
      <c r="E36" s="9">
        <v>5.0</v>
      </c>
      <c r="F36" s="10">
        <v>119327.0</v>
      </c>
      <c r="G36" s="10">
        <v>123583.0</v>
      </c>
      <c r="H36" s="9" t="str">
        <f t="shared" si="1"/>
        <v>NOT ACHIEVED</v>
      </c>
    </row>
    <row r="37" ht="15.75" customHeight="1">
      <c r="A37" s="9" t="s">
        <v>28</v>
      </c>
      <c r="B37" s="9" t="s">
        <v>12</v>
      </c>
      <c r="C37" s="9" t="s">
        <v>8</v>
      </c>
      <c r="D37" s="9" t="s">
        <v>14</v>
      </c>
      <c r="E37" s="9">
        <v>1.0</v>
      </c>
      <c r="F37" s="10">
        <v>285663.0</v>
      </c>
      <c r="G37" s="10">
        <v>168728.0</v>
      </c>
      <c r="H37" s="9" t="str">
        <f t="shared" si="1"/>
        <v>ACHIEVED</v>
      </c>
    </row>
    <row r="38" ht="15.75" customHeight="1">
      <c r="A38" s="9" t="s">
        <v>30</v>
      </c>
      <c r="B38" s="9" t="s">
        <v>12</v>
      </c>
      <c r="C38" s="9" t="s">
        <v>18</v>
      </c>
      <c r="D38" s="9" t="s">
        <v>9</v>
      </c>
      <c r="E38" s="9">
        <v>6.0</v>
      </c>
      <c r="F38" s="10">
        <v>130573.0</v>
      </c>
      <c r="G38" s="10">
        <v>242496.0</v>
      </c>
      <c r="H38" s="9" t="str">
        <f t="shared" si="1"/>
        <v>NOT ACHIEVED</v>
      </c>
    </row>
    <row r="39" ht="15.75" customHeight="1">
      <c r="A39" s="9" t="s">
        <v>46</v>
      </c>
      <c r="B39" s="9" t="s">
        <v>7</v>
      </c>
      <c r="C39" s="9" t="s">
        <v>18</v>
      </c>
      <c r="D39" s="9" t="s">
        <v>20</v>
      </c>
      <c r="E39" s="9">
        <v>15.0</v>
      </c>
      <c r="F39" s="10">
        <v>142507.0</v>
      </c>
      <c r="G39" s="10">
        <v>59101.0</v>
      </c>
      <c r="H39" s="9" t="str">
        <f t="shared" si="1"/>
        <v>ACHIEVED</v>
      </c>
    </row>
    <row r="40" ht="15.75" customHeight="1">
      <c r="A40" s="9" t="s">
        <v>42</v>
      </c>
      <c r="B40" s="9" t="s">
        <v>12</v>
      </c>
      <c r="C40" s="9" t="s">
        <v>11</v>
      </c>
      <c r="D40" s="9" t="s">
        <v>9</v>
      </c>
      <c r="E40" s="9">
        <v>4.0</v>
      </c>
      <c r="F40" s="10">
        <v>172714.0</v>
      </c>
      <c r="G40" s="10">
        <v>213361.0</v>
      </c>
      <c r="H40" s="9" t="str">
        <f t="shared" si="1"/>
        <v>NOT ACHIEVED</v>
      </c>
    </row>
    <row r="41" ht="15.75" customHeight="1">
      <c r="A41" s="9" t="s">
        <v>38</v>
      </c>
      <c r="B41" s="9" t="s">
        <v>19</v>
      </c>
      <c r="C41" s="9" t="s">
        <v>13</v>
      </c>
      <c r="D41" s="9" t="s">
        <v>20</v>
      </c>
      <c r="E41" s="9">
        <v>14.0</v>
      </c>
      <c r="F41" s="10">
        <v>43408.0</v>
      </c>
      <c r="G41" s="10">
        <v>135344.0</v>
      </c>
      <c r="H41" s="9" t="str">
        <f t="shared" si="1"/>
        <v>NOT ACHIEVED</v>
      </c>
    </row>
    <row r="42" ht="15.75" customHeight="1">
      <c r="A42" s="9" t="s">
        <v>47</v>
      </c>
      <c r="B42" s="9" t="s">
        <v>7</v>
      </c>
      <c r="C42" s="9" t="s">
        <v>11</v>
      </c>
      <c r="D42" s="9" t="s">
        <v>9</v>
      </c>
      <c r="E42" s="9">
        <v>4.0</v>
      </c>
      <c r="F42" s="10">
        <v>231012.0</v>
      </c>
      <c r="G42" s="10">
        <v>218555.0</v>
      </c>
      <c r="H42" s="9" t="str">
        <f t="shared" si="1"/>
        <v>ACHIEVED</v>
      </c>
    </row>
    <row r="43" ht="15.75" customHeight="1">
      <c r="A43" s="9" t="s">
        <v>48</v>
      </c>
      <c r="B43" s="9" t="s">
        <v>7</v>
      </c>
      <c r="C43" s="9" t="s">
        <v>13</v>
      </c>
      <c r="D43" s="9" t="s">
        <v>14</v>
      </c>
      <c r="E43" s="9">
        <v>13.0</v>
      </c>
      <c r="F43" s="10">
        <v>190291.0</v>
      </c>
      <c r="G43" s="10">
        <v>248125.0</v>
      </c>
      <c r="H43" s="9" t="str">
        <f t="shared" si="1"/>
        <v>NOT ACHIEVED</v>
      </c>
    </row>
    <row r="44" ht="15.75" customHeight="1">
      <c r="A44" s="9" t="s">
        <v>49</v>
      </c>
      <c r="B44" s="9" t="s">
        <v>10</v>
      </c>
      <c r="C44" s="9" t="s">
        <v>11</v>
      </c>
      <c r="D44" s="9" t="s">
        <v>17</v>
      </c>
      <c r="E44" s="9">
        <v>9.0</v>
      </c>
      <c r="F44" s="10">
        <v>279811.0</v>
      </c>
      <c r="G44" s="10">
        <v>73886.0</v>
      </c>
      <c r="H44" s="9" t="str">
        <f t="shared" si="1"/>
        <v>ACHIEVED</v>
      </c>
    </row>
    <row r="45" ht="15.75" customHeight="1">
      <c r="A45" s="9" t="s">
        <v>30</v>
      </c>
      <c r="B45" s="9" t="s">
        <v>7</v>
      </c>
      <c r="C45" s="9" t="s">
        <v>22</v>
      </c>
      <c r="D45" s="9" t="s">
        <v>14</v>
      </c>
      <c r="E45" s="9">
        <v>6.0</v>
      </c>
      <c r="F45" s="10">
        <v>262839.0</v>
      </c>
      <c r="G45" s="10">
        <v>152188.0</v>
      </c>
      <c r="H45" s="9" t="str">
        <f t="shared" si="1"/>
        <v>ACHIEVED</v>
      </c>
    </row>
    <row r="46" ht="15.75" customHeight="1">
      <c r="A46" s="9" t="s">
        <v>41</v>
      </c>
      <c r="B46" s="9" t="s">
        <v>12</v>
      </c>
      <c r="C46" s="9" t="s">
        <v>18</v>
      </c>
      <c r="D46" s="9" t="s">
        <v>20</v>
      </c>
      <c r="E46" s="9">
        <v>3.0</v>
      </c>
      <c r="F46" s="10">
        <v>121282.0</v>
      </c>
      <c r="G46" s="10">
        <v>188888.0</v>
      </c>
      <c r="H46" s="9" t="str">
        <f t="shared" si="1"/>
        <v>NOT ACHIEVED</v>
      </c>
    </row>
    <row r="47" ht="15.75" customHeight="1">
      <c r="A47" s="9" t="s">
        <v>42</v>
      </c>
      <c r="B47" s="9" t="s">
        <v>19</v>
      </c>
      <c r="C47" s="9" t="s">
        <v>8</v>
      </c>
      <c r="D47" s="9" t="s">
        <v>14</v>
      </c>
      <c r="E47" s="9">
        <v>15.0</v>
      </c>
      <c r="F47" s="10">
        <v>224446.0</v>
      </c>
      <c r="G47" s="10">
        <v>139428.0</v>
      </c>
      <c r="H47" s="9" t="str">
        <f t="shared" si="1"/>
        <v>ACHIEVED</v>
      </c>
    </row>
    <row r="48" ht="15.75" customHeight="1">
      <c r="A48" s="9" t="s">
        <v>44</v>
      </c>
      <c r="B48" s="9" t="s">
        <v>19</v>
      </c>
      <c r="C48" s="9" t="s">
        <v>8</v>
      </c>
      <c r="D48" s="9" t="s">
        <v>14</v>
      </c>
      <c r="E48" s="9">
        <v>1.0</v>
      </c>
      <c r="F48" s="10">
        <v>40693.0</v>
      </c>
      <c r="G48" s="10">
        <v>231894.0</v>
      </c>
      <c r="H48" s="9" t="str">
        <f t="shared" si="1"/>
        <v>NOT ACHIEVED</v>
      </c>
    </row>
    <row r="49" ht="15.75" customHeight="1">
      <c r="A49" s="9" t="s">
        <v>44</v>
      </c>
      <c r="B49" s="9" t="s">
        <v>7</v>
      </c>
      <c r="C49" s="9" t="s">
        <v>15</v>
      </c>
      <c r="D49" s="9" t="s">
        <v>16</v>
      </c>
      <c r="E49" s="9">
        <v>2.0</v>
      </c>
      <c r="F49" s="10">
        <v>299342.0</v>
      </c>
      <c r="G49" s="10">
        <v>167537.0</v>
      </c>
      <c r="H49" s="9" t="str">
        <f t="shared" si="1"/>
        <v>ACHIEVED</v>
      </c>
    </row>
    <row r="50" ht="15.75" customHeight="1">
      <c r="A50" s="9" t="s">
        <v>25</v>
      </c>
      <c r="B50" s="9" t="s">
        <v>21</v>
      </c>
      <c r="C50" s="9" t="s">
        <v>15</v>
      </c>
      <c r="D50" s="9" t="s">
        <v>17</v>
      </c>
      <c r="E50" s="9">
        <v>11.0</v>
      </c>
      <c r="F50" s="10">
        <v>22573.0</v>
      </c>
      <c r="G50" s="10">
        <v>175778.0</v>
      </c>
      <c r="H50" s="9" t="str">
        <f t="shared" si="1"/>
        <v>NOT ACHIEVED</v>
      </c>
    </row>
    <row r="51" ht="15.75" customHeight="1">
      <c r="A51" s="9" t="s">
        <v>50</v>
      </c>
      <c r="B51" s="9" t="s">
        <v>10</v>
      </c>
      <c r="C51" s="9" t="s">
        <v>8</v>
      </c>
      <c r="D51" s="9" t="s">
        <v>14</v>
      </c>
      <c r="E51" s="9">
        <v>6.0</v>
      </c>
      <c r="F51" s="10">
        <v>88010.0</v>
      </c>
      <c r="G51" s="10">
        <v>223770.0</v>
      </c>
      <c r="H51" s="9" t="str">
        <f t="shared" si="1"/>
        <v>NOT ACHIEVED</v>
      </c>
    </row>
    <row r="52" ht="15.75" customHeight="1">
      <c r="A52" s="9" t="s">
        <v>51</v>
      </c>
      <c r="B52" s="9" t="s">
        <v>12</v>
      </c>
      <c r="C52" s="9" t="s">
        <v>15</v>
      </c>
      <c r="D52" s="9" t="s">
        <v>20</v>
      </c>
      <c r="E52" s="9">
        <v>5.0</v>
      </c>
      <c r="F52" s="10">
        <v>143541.0</v>
      </c>
      <c r="G52" s="10">
        <v>137091.0</v>
      </c>
      <c r="H52" s="9" t="str">
        <f t="shared" si="1"/>
        <v>ACHIEVED</v>
      </c>
    </row>
    <row r="53" ht="15.75" customHeight="1">
      <c r="A53" s="9" t="s">
        <v>37</v>
      </c>
      <c r="B53" s="9" t="s">
        <v>12</v>
      </c>
      <c r="C53" s="9" t="s">
        <v>15</v>
      </c>
      <c r="D53" s="9" t="s">
        <v>20</v>
      </c>
      <c r="E53" s="9">
        <v>1.0</v>
      </c>
      <c r="F53" s="10">
        <v>91718.0</v>
      </c>
      <c r="G53" s="10">
        <v>61338.0</v>
      </c>
      <c r="H53" s="9" t="str">
        <f t="shared" si="1"/>
        <v>ACHIEVED</v>
      </c>
    </row>
    <row r="54" ht="15.75" customHeight="1">
      <c r="A54" s="9" t="s">
        <v>47</v>
      </c>
      <c r="B54" s="9" t="s">
        <v>21</v>
      </c>
      <c r="C54" s="9" t="s">
        <v>11</v>
      </c>
      <c r="D54" s="9" t="s">
        <v>14</v>
      </c>
      <c r="E54" s="9">
        <v>8.0</v>
      </c>
      <c r="F54" s="10">
        <v>31434.0</v>
      </c>
      <c r="G54" s="10">
        <v>75769.0</v>
      </c>
      <c r="H54" s="9" t="str">
        <f t="shared" si="1"/>
        <v>NOT ACHIEVED</v>
      </c>
    </row>
    <row r="55" ht="15.75" customHeight="1">
      <c r="A55" s="9" t="s">
        <v>49</v>
      </c>
      <c r="B55" s="9" t="s">
        <v>19</v>
      </c>
      <c r="C55" s="9" t="s">
        <v>15</v>
      </c>
      <c r="D55" s="9" t="s">
        <v>17</v>
      </c>
      <c r="E55" s="9">
        <v>11.0</v>
      </c>
      <c r="F55" s="10">
        <v>273461.0</v>
      </c>
      <c r="G55" s="10">
        <v>161624.0</v>
      </c>
      <c r="H55" s="9" t="str">
        <f t="shared" si="1"/>
        <v>ACHIEVED</v>
      </c>
    </row>
    <row r="56" ht="15.75" customHeight="1">
      <c r="A56" s="9" t="s">
        <v>51</v>
      </c>
      <c r="B56" s="9" t="s">
        <v>10</v>
      </c>
      <c r="C56" s="9" t="s">
        <v>8</v>
      </c>
      <c r="D56" s="9" t="s">
        <v>9</v>
      </c>
      <c r="E56" s="9">
        <v>3.0</v>
      </c>
      <c r="F56" s="10">
        <v>70054.0</v>
      </c>
      <c r="G56" s="10">
        <v>170685.0</v>
      </c>
      <c r="H56" s="9" t="str">
        <f t="shared" si="1"/>
        <v>NOT ACHIEVED</v>
      </c>
    </row>
    <row r="57" ht="15.75" customHeight="1">
      <c r="A57" s="9" t="s">
        <v>40</v>
      </c>
      <c r="B57" s="9" t="s">
        <v>10</v>
      </c>
      <c r="C57" s="9" t="s">
        <v>22</v>
      </c>
      <c r="D57" s="9" t="s">
        <v>9</v>
      </c>
      <c r="E57" s="9">
        <v>11.0</v>
      </c>
      <c r="F57" s="10">
        <v>37494.0</v>
      </c>
      <c r="G57" s="10">
        <v>84351.0</v>
      </c>
      <c r="H57" s="9" t="str">
        <f t="shared" si="1"/>
        <v>NOT ACHIEVED</v>
      </c>
    </row>
    <row r="58" ht="15.75" customHeight="1">
      <c r="A58" s="9" t="s">
        <v>25</v>
      </c>
      <c r="B58" s="9" t="s">
        <v>19</v>
      </c>
      <c r="C58" s="9" t="s">
        <v>11</v>
      </c>
      <c r="D58" s="9" t="s">
        <v>17</v>
      </c>
      <c r="E58" s="9">
        <v>13.0</v>
      </c>
      <c r="F58" s="10">
        <v>108914.0</v>
      </c>
      <c r="G58" s="10">
        <v>199285.0</v>
      </c>
      <c r="H58" s="9" t="str">
        <f t="shared" si="1"/>
        <v>NOT ACHIEVED</v>
      </c>
    </row>
    <row r="59" ht="15.75" customHeight="1">
      <c r="A59" s="9" t="s">
        <v>39</v>
      </c>
      <c r="B59" s="9" t="s">
        <v>10</v>
      </c>
      <c r="C59" s="9" t="s">
        <v>13</v>
      </c>
      <c r="D59" s="9" t="s">
        <v>9</v>
      </c>
      <c r="E59" s="9">
        <v>11.0</v>
      </c>
      <c r="F59" s="10">
        <v>143860.0</v>
      </c>
      <c r="G59" s="10">
        <v>44625.0</v>
      </c>
      <c r="H59" s="9" t="str">
        <f t="shared" si="1"/>
        <v>ACHIEVED</v>
      </c>
    </row>
    <row r="60" ht="15.75" customHeight="1">
      <c r="A60" s="9" t="s">
        <v>52</v>
      </c>
      <c r="B60" s="9" t="s">
        <v>19</v>
      </c>
      <c r="C60" s="9" t="s">
        <v>18</v>
      </c>
      <c r="D60" s="9" t="s">
        <v>9</v>
      </c>
      <c r="E60" s="9">
        <v>13.0</v>
      </c>
      <c r="F60" s="10">
        <v>290551.0</v>
      </c>
      <c r="G60" s="10">
        <v>247558.0</v>
      </c>
      <c r="H60" s="9" t="str">
        <f t="shared" si="1"/>
        <v>ACHIEVED</v>
      </c>
    </row>
    <row r="61" ht="15.75" customHeight="1">
      <c r="A61" s="9" t="s">
        <v>39</v>
      </c>
      <c r="B61" s="9" t="s">
        <v>19</v>
      </c>
      <c r="C61" s="9" t="s">
        <v>11</v>
      </c>
      <c r="D61" s="9" t="s">
        <v>16</v>
      </c>
      <c r="E61" s="9">
        <v>7.0</v>
      </c>
      <c r="F61" s="10">
        <v>19693.0</v>
      </c>
      <c r="G61" s="10">
        <v>149858.0</v>
      </c>
      <c r="H61" s="9" t="str">
        <f t="shared" si="1"/>
        <v>NOT ACHIEVED</v>
      </c>
    </row>
    <row r="62" ht="15.75" customHeight="1">
      <c r="A62" s="9" t="s">
        <v>41</v>
      </c>
      <c r="B62" s="9" t="s">
        <v>19</v>
      </c>
      <c r="C62" s="9" t="s">
        <v>18</v>
      </c>
      <c r="D62" s="9" t="s">
        <v>16</v>
      </c>
      <c r="E62" s="9">
        <v>12.0</v>
      </c>
      <c r="F62" s="10">
        <v>93271.0</v>
      </c>
      <c r="G62" s="10">
        <v>208767.0</v>
      </c>
      <c r="H62" s="9" t="str">
        <f t="shared" si="1"/>
        <v>NOT ACHIEVED</v>
      </c>
    </row>
    <row r="63" ht="15.75" customHeight="1">
      <c r="A63" s="9" t="s">
        <v>47</v>
      </c>
      <c r="B63" s="9" t="s">
        <v>12</v>
      </c>
      <c r="C63" s="9" t="s">
        <v>15</v>
      </c>
      <c r="D63" s="9" t="s">
        <v>9</v>
      </c>
      <c r="E63" s="9">
        <v>14.0</v>
      </c>
      <c r="F63" s="10">
        <v>272624.0</v>
      </c>
      <c r="G63" s="10">
        <v>126538.0</v>
      </c>
      <c r="H63" s="9" t="str">
        <f t="shared" si="1"/>
        <v>ACHIEVED</v>
      </c>
    </row>
    <row r="64" ht="15.75" customHeight="1">
      <c r="A64" s="9" t="s">
        <v>40</v>
      </c>
      <c r="B64" s="9" t="s">
        <v>19</v>
      </c>
      <c r="C64" s="9" t="s">
        <v>15</v>
      </c>
      <c r="D64" s="9" t="s">
        <v>17</v>
      </c>
      <c r="E64" s="9">
        <v>3.0</v>
      </c>
      <c r="F64" s="10">
        <v>226226.0</v>
      </c>
      <c r="G64" s="10">
        <v>84361.0</v>
      </c>
      <c r="H64" s="9" t="str">
        <f t="shared" si="1"/>
        <v>ACHIEVED</v>
      </c>
    </row>
    <row r="65" ht="15.75" customHeight="1">
      <c r="A65" s="9" t="s">
        <v>30</v>
      </c>
      <c r="B65" s="9" t="s">
        <v>21</v>
      </c>
      <c r="C65" s="9" t="s">
        <v>11</v>
      </c>
      <c r="D65" s="9" t="s">
        <v>14</v>
      </c>
      <c r="E65" s="9">
        <v>7.0</v>
      </c>
      <c r="F65" s="10">
        <v>230260.0</v>
      </c>
      <c r="G65" s="10">
        <v>244036.0</v>
      </c>
      <c r="H65" s="9" t="str">
        <f t="shared" si="1"/>
        <v>NOT ACHIEVED</v>
      </c>
    </row>
    <row r="66" ht="15.75" customHeight="1">
      <c r="A66" s="9" t="s">
        <v>38</v>
      </c>
      <c r="B66" s="9" t="s">
        <v>21</v>
      </c>
      <c r="C66" s="9" t="s">
        <v>11</v>
      </c>
      <c r="D66" s="9" t="s">
        <v>17</v>
      </c>
      <c r="E66" s="9">
        <v>7.0</v>
      </c>
      <c r="F66" s="10">
        <v>293148.0</v>
      </c>
      <c r="G66" s="10">
        <v>28901.0</v>
      </c>
      <c r="H66" s="9" t="str">
        <f t="shared" si="1"/>
        <v>ACHIEVED</v>
      </c>
    </row>
    <row r="67" ht="15.75" customHeight="1">
      <c r="A67" s="9" t="s">
        <v>39</v>
      </c>
      <c r="B67" s="9" t="s">
        <v>21</v>
      </c>
      <c r="C67" s="9" t="s">
        <v>13</v>
      </c>
      <c r="D67" s="9" t="s">
        <v>14</v>
      </c>
      <c r="E67" s="9">
        <v>1.0</v>
      </c>
      <c r="F67" s="10">
        <v>172448.0</v>
      </c>
      <c r="G67" s="10">
        <v>47192.0</v>
      </c>
      <c r="H67" s="9" t="str">
        <f t="shared" si="1"/>
        <v>ACHIEVED</v>
      </c>
    </row>
    <row r="68" ht="15.75" customHeight="1">
      <c r="A68" s="9" t="s">
        <v>48</v>
      </c>
      <c r="B68" s="9" t="s">
        <v>7</v>
      </c>
      <c r="C68" s="9" t="s">
        <v>22</v>
      </c>
      <c r="D68" s="9" t="s">
        <v>17</v>
      </c>
      <c r="E68" s="9">
        <v>2.0</v>
      </c>
      <c r="F68" s="10">
        <v>241627.0</v>
      </c>
      <c r="G68" s="10">
        <v>22171.0</v>
      </c>
      <c r="H68" s="9" t="str">
        <f t="shared" si="1"/>
        <v>ACHIEVED</v>
      </c>
    </row>
    <row r="69" ht="15.75" customHeight="1">
      <c r="A69" s="9" t="s">
        <v>30</v>
      </c>
      <c r="B69" s="9" t="s">
        <v>21</v>
      </c>
      <c r="C69" s="9" t="s">
        <v>18</v>
      </c>
      <c r="D69" s="9" t="s">
        <v>14</v>
      </c>
      <c r="E69" s="9">
        <v>1.0</v>
      </c>
      <c r="F69" s="10">
        <v>156925.0</v>
      </c>
      <c r="G69" s="10">
        <v>112395.0</v>
      </c>
      <c r="H69" s="9" t="str">
        <f t="shared" si="1"/>
        <v>ACHIEVED</v>
      </c>
    </row>
    <row r="70" ht="15.75" customHeight="1">
      <c r="A70" s="9" t="s">
        <v>53</v>
      </c>
      <c r="B70" s="9" t="s">
        <v>7</v>
      </c>
      <c r="C70" s="9" t="s">
        <v>11</v>
      </c>
      <c r="D70" s="9" t="s">
        <v>20</v>
      </c>
      <c r="E70" s="9">
        <v>15.0</v>
      </c>
      <c r="F70" s="10">
        <v>106084.0</v>
      </c>
      <c r="G70" s="10">
        <v>212098.0</v>
      </c>
      <c r="H70" s="9" t="str">
        <f t="shared" si="1"/>
        <v>NOT ACHIEVED</v>
      </c>
    </row>
    <row r="71" ht="15.75" customHeight="1">
      <c r="A71" s="9" t="s">
        <v>45</v>
      </c>
      <c r="B71" s="9" t="s">
        <v>12</v>
      </c>
      <c r="C71" s="9" t="s">
        <v>18</v>
      </c>
      <c r="D71" s="9" t="s">
        <v>20</v>
      </c>
      <c r="E71" s="9">
        <v>2.0</v>
      </c>
      <c r="F71" s="10">
        <v>159472.0</v>
      </c>
      <c r="G71" s="10">
        <v>203749.0</v>
      </c>
      <c r="H71" s="9" t="str">
        <f t="shared" si="1"/>
        <v>NOT ACHIEVED</v>
      </c>
    </row>
    <row r="72" ht="15.75" customHeight="1">
      <c r="A72" s="9" t="s">
        <v>25</v>
      </c>
      <c r="B72" s="9" t="s">
        <v>10</v>
      </c>
      <c r="C72" s="9" t="s">
        <v>18</v>
      </c>
      <c r="D72" s="9" t="s">
        <v>14</v>
      </c>
      <c r="E72" s="9">
        <v>11.0</v>
      </c>
      <c r="F72" s="10">
        <v>139574.0</v>
      </c>
      <c r="G72" s="10">
        <v>66823.0</v>
      </c>
      <c r="H72" s="9" t="str">
        <f t="shared" si="1"/>
        <v>ACHIEVED</v>
      </c>
    </row>
    <row r="73" ht="15.75" customHeight="1">
      <c r="A73" s="9" t="s">
        <v>37</v>
      </c>
      <c r="B73" s="9" t="s">
        <v>21</v>
      </c>
      <c r="C73" s="9" t="s">
        <v>8</v>
      </c>
      <c r="D73" s="9" t="s">
        <v>16</v>
      </c>
      <c r="E73" s="9">
        <v>3.0</v>
      </c>
      <c r="F73" s="10">
        <v>281276.0</v>
      </c>
      <c r="G73" s="10">
        <v>160171.0</v>
      </c>
      <c r="H73" s="9" t="str">
        <f t="shared" si="1"/>
        <v>ACHIEVED</v>
      </c>
    </row>
    <row r="74" ht="15.75" customHeight="1">
      <c r="A74" s="9" t="s">
        <v>30</v>
      </c>
      <c r="B74" s="9" t="s">
        <v>12</v>
      </c>
      <c r="C74" s="9" t="s">
        <v>8</v>
      </c>
      <c r="D74" s="9" t="s">
        <v>16</v>
      </c>
      <c r="E74" s="9">
        <v>2.0</v>
      </c>
      <c r="F74" s="10">
        <v>85268.0</v>
      </c>
      <c r="G74" s="10">
        <v>41859.0</v>
      </c>
      <c r="H74" s="9" t="str">
        <f t="shared" si="1"/>
        <v>ACHIEVED</v>
      </c>
    </row>
    <row r="75" ht="15.75" customHeight="1">
      <c r="A75" s="9" t="s">
        <v>48</v>
      </c>
      <c r="B75" s="9" t="s">
        <v>12</v>
      </c>
      <c r="C75" s="9" t="s">
        <v>8</v>
      </c>
      <c r="D75" s="9" t="s">
        <v>17</v>
      </c>
      <c r="E75" s="9">
        <v>11.0</v>
      </c>
      <c r="F75" s="10">
        <v>210635.0</v>
      </c>
      <c r="G75" s="10">
        <v>151261.0</v>
      </c>
      <c r="H75" s="9" t="str">
        <f t="shared" si="1"/>
        <v>ACHIEVED</v>
      </c>
    </row>
    <row r="76" ht="15.75" customHeight="1">
      <c r="A76" s="9" t="s">
        <v>42</v>
      </c>
      <c r="B76" s="9" t="s">
        <v>7</v>
      </c>
      <c r="C76" s="9" t="s">
        <v>15</v>
      </c>
      <c r="D76" s="9" t="s">
        <v>20</v>
      </c>
      <c r="E76" s="9">
        <v>8.0</v>
      </c>
      <c r="F76" s="10">
        <v>112655.0</v>
      </c>
      <c r="G76" s="10">
        <v>135465.0</v>
      </c>
      <c r="H76" s="9" t="str">
        <f t="shared" si="1"/>
        <v>NOT ACHIEVED</v>
      </c>
    </row>
    <row r="77" ht="15.75" customHeight="1">
      <c r="A77" s="9" t="s">
        <v>47</v>
      </c>
      <c r="B77" s="9" t="s">
        <v>7</v>
      </c>
      <c r="C77" s="9" t="s">
        <v>15</v>
      </c>
      <c r="D77" s="9" t="s">
        <v>17</v>
      </c>
      <c r="E77" s="9">
        <v>8.0</v>
      </c>
      <c r="F77" s="10">
        <v>264902.0</v>
      </c>
      <c r="G77" s="10">
        <v>230197.0</v>
      </c>
      <c r="H77" s="9" t="str">
        <f t="shared" si="1"/>
        <v>ACHIEVED</v>
      </c>
    </row>
    <row r="78" ht="15.75" customHeight="1">
      <c r="A78" s="9" t="s">
        <v>54</v>
      </c>
      <c r="B78" s="9" t="s">
        <v>12</v>
      </c>
      <c r="C78" s="9" t="s">
        <v>11</v>
      </c>
      <c r="D78" s="9" t="s">
        <v>14</v>
      </c>
      <c r="E78" s="9">
        <v>3.0</v>
      </c>
      <c r="F78" s="10">
        <v>100478.0</v>
      </c>
      <c r="G78" s="10">
        <v>32501.0</v>
      </c>
      <c r="H78" s="9" t="str">
        <f t="shared" si="1"/>
        <v>ACHIEVED</v>
      </c>
    </row>
    <row r="79" ht="15.75" customHeight="1">
      <c r="A79" s="9" t="s">
        <v>39</v>
      </c>
      <c r="B79" s="9" t="s">
        <v>19</v>
      </c>
      <c r="C79" s="9" t="s">
        <v>13</v>
      </c>
      <c r="D79" s="9" t="s">
        <v>14</v>
      </c>
      <c r="E79" s="9">
        <v>6.0</v>
      </c>
      <c r="F79" s="10">
        <v>113065.0</v>
      </c>
      <c r="G79" s="10">
        <v>51817.0</v>
      </c>
      <c r="H79" s="9" t="str">
        <f t="shared" si="1"/>
        <v>ACHIEVED</v>
      </c>
    </row>
    <row r="80" ht="15.75" customHeight="1">
      <c r="A80" s="9" t="s">
        <v>47</v>
      </c>
      <c r="B80" s="9" t="s">
        <v>10</v>
      </c>
      <c r="C80" s="9" t="s">
        <v>22</v>
      </c>
      <c r="D80" s="9" t="s">
        <v>20</v>
      </c>
      <c r="E80" s="9">
        <v>15.0</v>
      </c>
      <c r="F80" s="10">
        <v>90596.0</v>
      </c>
      <c r="G80" s="10">
        <v>220426.0</v>
      </c>
      <c r="H80" s="9" t="str">
        <f t="shared" si="1"/>
        <v>NOT ACHIEVED</v>
      </c>
    </row>
    <row r="81" ht="15.75" customHeight="1">
      <c r="A81" s="9" t="s">
        <v>28</v>
      </c>
      <c r="B81" s="9" t="s">
        <v>21</v>
      </c>
      <c r="C81" s="9" t="s">
        <v>15</v>
      </c>
      <c r="D81" s="9" t="s">
        <v>14</v>
      </c>
      <c r="E81" s="9">
        <v>7.0</v>
      </c>
      <c r="F81" s="10">
        <v>208374.0</v>
      </c>
      <c r="G81" s="10">
        <v>41846.0</v>
      </c>
      <c r="H81" s="9" t="str">
        <f t="shared" si="1"/>
        <v>ACHIEVED</v>
      </c>
    </row>
    <row r="82" ht="15.75" customHeight="1">
      <c r="A82" s="9" t="s">
        <v>43</v>
      </c>
      <c r="B82" s="9" t="s">
        <v>19</v>
      </c>
      <c r="C82" s="9" t="s">
        <v>15</v>
      </c>
      <c r="D82" s="9" t="s">
        <v>17</v>
      </c>
      <c r="E82" s="9">
        <v>11.0</v>
      </c>
      <c r="F82" s="10">
        <v>293523.0</v>
      </c>
      <c r="G82" s="10">
        <v>172891.0</v>
      </c>
      <c r="H82" s="9" t="str">
        <f t="shared" si="1"/>
        <v>ACHIEVED</v>
      </c>
    </row>
    <row r="83" ht="15.75" customHeight="1">
      <c r="A83" s="9" t="s">
        <v>51</v>
      </c>
      <c r="B83" s="9" t="s">
        <v>19</v>
      </c>
      <c r="C83" s="9" t="s">
        <v>13</v>
      </c>
      <c r="D83" s="9" t="s">
        <v>20</v>
      </c>
      <c r="E83" s="9">
        <v>7.0</v>
      </c>
      <c r="F83" s="10">
        <v>133491.0</v>
      </c>
      <c r="G83" s="10">
        <v>78786.0</v>
      </c>
      <c r="H83" s="9" t="str">
        <f t="shared" si="1"/>
        <v>ACHIEVED</v>
      </c>
    </row>
    <row r="84" ht="15.75" customHeight="1">
      <c r="A84" s="9" t="s">
        <v>41</v>
      </c>
      <c r="B84" s="9" t="s">
        <v>12</v>
      </c>
      <c r="C84" s="9" t="s">
        <v>22</v>
      </c>
      <c r="D84" s="9" t="s">
        <v>16</v>
      </c>
      <c r="E84" s="9">
        <v>4.0</v>
      </c>
      <c r="F84" s="10">
        <v>191204.0</v>
      </c>
      <c r="G84" s="10">
        <v>84830.0</v>
      </c>
      <c r="H84" s="9" t="str">
        <f t="shared" si="1"/>
        <v>ACHIEVED</v>
      </c>
    </row>
    <row r="85" ht="15.75" customHeight="1">
      <c r="A85" s="9" t="s">
        <v>34</v>
      </c>
      <c r="B85" s="9" t="s">
        <v>10</v>
      </c>
      <c r="C85" s="9" t="s">
        <v>11</v>
      </c>
      <c r="D85" s="9" t="s">
        <v>14</v>
      </c>
      <c r="E85" s="9">
        <v>15.0</v>
      </c>
      <c r="F85" s="10">
        <v>222082.0</v>
      </c>
      <c r="G85" s="10">
        <v>146630.0</v>
      </c>
      <c r="H85" s="9" t="str">
        <f t="shared" si="1"/>
        <v>ACHIEVED</v>
      </c>
    </row>
    <row r="86" ht="15.75" customHeight="1">
      <c r="A86" s="9" t="s">
        <v>27</v>
      </c>
      <c r="B86" s="9" t="s">
        <v>7</v>
      </c>
      <c r="C86" s="9" t="s">
        <v>13</v>
      </c>
      <c r="D86" s="9" t="s">
        <v>20</v>
      </c>
      <c r="E86" s="9">
        <v>10.0</v>
      </c>
      <c r="F86" s="10">
        <v>214839.0</v>
      </c>
      <c r="G86" s="10">
        <v>56138.0</v>
      </c>
      <c r="H86" s="9" t="str">
        <f t="shared" si="1"/>
        <v>ACHIEVED</v>
      </c>
    </row>
    <row r="87" ht="15.75" customHeight="1">
      <c r="A87" s="9" t="s">
        <v>29</v>
      </c>
      <c r="B87" s="9" t="s">
        <v>21</v>
      </c>
      <c r="C87" s="9" t="s">
        <v>13</v>
      </c>
      <c r="D87" s="9" t="s">
        <v>17</v>
      </c>
      <c r="E87" s="9">
        <v>10.0</v>
      </c>
      <c r="F87" s="10">
        <v>34285.0</v>
      </c>
      <c r="G87" s="10">
        <v>111271.0</v>
      </c>
      <c r="H87" s="9" t="str">
        <f t="shared" si="1"/>
        <v>NOT ACHIEVED</v>
      </c>
    </row>
    <row r="88" ht="15.75" customHeight="1">
      <c r="A88" s="9" t="s">
        <v>48</v>
      </c>
      <c r="B88" s="9" t="s">
        <v>19</v>
      </c>
      <c r="C88" s="9" t="s">
        <v>11</v>
      </c>
      <c r="D88" s="9" t="s">
        <v>14</v>
      </c>
      <c r="E88" s="9">
        <v>10.0</v>
      </c>
      <c r="F88" s="10">
        <v>64801.0</v>
      </c>
      <c r="G88" s="10">
        <v>199118.0</v>
      </c>
      <c r="H88" s="9" t="str">
        <f t="shared" si="1"/>
        <v>NOT ACHIEVED</v>
      </c>
    </row>
    <row r="89" ht="15.75" customHeight="1">
      <c r="A89" s="9" t="s">
        <v>48</v>
      </c>
      <c r="B89" s="9" t="s">
        <v>10</v>
      </c>
      <c r="C89" s="9" t="s">
        <v>22</v>
      </c>
      <c r="D89" s="9" t="s">
        <v>20</v>
      </c>
      <c r="E89" s="9">
        <v>6.0</v>
      </c>
      <c r="F89" s="10">
        <v>39735.0</v>
      </c>
      <c r="G89" s="10">
        <v>168459.0</v>
      </c>
      <c r="H89" s="9" t="str">
        <f t="shared" si="1"/>
        <v>NOT ACHIEVED</v>
      </c>
    </row>
    <row r="90" ht="15.75" customHeight="1">
      <c r="A90" s="9" t="s">
        <v>37</v>
      </c>
      <c r="B90" s="9" t="s">
        <v>10</v>
      </c>
      <c r="C90" s="9" t="s">
        <v>15</v>
      </c>
      <c r="D90" s="9" t="s">
        <v>14</v>
      </c>
      <c r="E90" s="9">
        <v>2.0</v>
      </c>
      <c r="F90" s="10">
        <v>183920.0</v>
      </c>
      <c r="G90" s="10">
        <v>63628.0</v>
      </c>
      <c r="H90" s="9" t="str">
        <f t="shared" si="1"/>
        <v>ACHIEVED</v>
      </c>
    </row>
    <row r="91" ht="15.75" customHeight="1">
      <c r="A91" s="9" t="s">
        <v>49</v>
      </c>
      <c r="B91" s="9" t="s">
        <v>21</v>
      </c>
      <c r="C91" s="9" t="s">
        <v>8</v>
      </c>
      <c r="D91" s="9" t="s">
        <v>14</v>
      </c>
      <c r="E91" s="9">
        <v>4.0</v>
      </c>
      <c r="F91" s="10">
        <v>15536.0</v>
      </c>
      <c r="G91" s="10">
        <v>57663.0</v>
      </c>
      <c r="H91" s="9" t="str">
        <f t="shared" si="1"/>
        <v>NOT ACHIEVED</v>
      </c>
    </row>
    <row r="92" ht="15.75" customHeight="1">
      <c r="A92" s="9" t="s">
        <v>33</v>
      </c>
      <c r="B92" s="9" t="s">
        <v>21</v>
      </c>
      <c r="C92" s="9" t="s">
        <v>18</v>
      </c>
      <c r="D92" s="9" t="s">
        <v>17</v>
      </c>
      <c r="E92" s="9">
        <v>14.0</v>
      </c>
      <c r="F92" s="10">
        <v>285159.0</v>
      </c>
      <c r="G92" s="10">
        <v>20290.0</v>
      </c>
      <c r="H92" s="9" t="str">
        <f t="shared" si="1"/>
        <v>ACHIEVED</v>
      </c>
    </row>
    <row r="93" ht="15.75" customHeight="1">
      <c r="A93" s="9" t="s">
        <v>24</v>
      </c>
      <c r="B93" s="9" t="s">
        <v>7</v>
      </c>
      <c r="C93" s="9" t="s">
        <v>13</v>
      </c>
      <c r="D93" s="9" t="s">
        <v>17</v>
      </c>
      <c r="E93" s="9">
        <v>10.0</v>
      </c>
      <c r="F93" s="10">
        <v>282983.0</v>
      </c>
      <c r="G93" s="10">
        <v>219951.0</v>
      </c>
      <c r="H93" s="9" t="str">
        <f t="shared" si="1"/>
        <v>ACHIEVED</v>
      </c>
    </row>
    <row r="94" ht="15.75" customHeight="1">
      <c r="A94" s="9" t="s">
        <v>29</v>
      </c>
      <c r="B94" s="9" t="s">
        <v>12</v>
      </c>
      <c r="C94" s="9" t="s">
        <v>11</v>
      </c>
      <c r="D94" s="9" t="s">
        <v>17</v>
      </c>
      <c r="E94" s="9">
        <v>4.0</v>
      </c>
      <c r="F94" s="10">
        <v>64540.0</v>
      </c>
      <c r="G94" s="10">
        <v>31940.0</v>
      </c>
      <c r="H94" s="9" t="str">
        <f t="shared" si="1"/>
        <v>ACHIEVED</v>
      </c>
    </row>
    <row r="95" ht="15.75" customHeight="1">
      <c r="A95" s="9" t="s">
        <v>41</v>
      </c>
      <c r="B95" s="9" t="s">
        <v>10</v>
      </c>
      <c r="C95" s="9" t="s">
        <v>18</v>
      </c>
      <c r="D95" s="9" t="s">
        <v>16</v>
      </c>
      <c r="E95" s="9">
        <v>14.0</v>
      </c>
      <c r="F95" s="10">
        <v>109903.0</v>
      </c>
      <c r="G95" s="10">
        <v>26864.0</v>
      </c>
      <c r="H95" s="9" t="str">
        <f t="shared" si="1"/>
        <v>ACHIEVED</v>
      </c>
    </row>
    <row r="96" ht="15.75" customHeight="1">
      <c r="A96" s="9" t="s">
        <v>30</v>
      </c>
      <c r="B96" s="9" t="s">
        <v>7</v>
      </c>
      <c r="C96" s="9" t="s">
        <v>8</v>
      </c>
      <c r="D96" s="9" t="s">
        <v>9</v>
      </c>
      <c r="E96" s="9">
        <v>14.0</v>
      </c>
      <c r="F96" s="10">
        <v>111855.0</v>
      </c>
      <c r="G96" s="10">
        <v>58312.0</v>
      </c>
      <c r="H96" s="9" t="str">
        <f t="shared" si="1"/>
        <v>ACHIEVED</v>
      </c>
    </row>
    <row r="97" ht="15.75" customHeight="1">
      <c r="A97" s="9" t="s">
        <v>25</v>
      </c>
      <c r="B97" s="9" t="s">
        <v>10</v>
      </c>
      <c r="C97" s="9" t="s">
        <v>22</v>
      </c>
      <c r="D97" s="9" t="s">
        <v>20</v>
      </c>
      <c r="E97" s="9">
        <v>8.0</v>
      </c>
      <c r="F97" s="10">
        <v>153114.0</v>
      </c>
      <c r="G97" s="10">
        <v>72290.0</v>
      </c>
      <c r="H97" s="9" t="str">
        <f t="shared" si="1"/>
        <v>ACHIEVED</v>
      </c>
    </row>
    <row r="98" ht="15.75" customHeight="1">
      <c r="A98" s="9" t="s">
        <v>50</v>
      </c>
      <c r="B98" s="9" t="s">
        <v>21</v>
      </c>
      <c r="C98" s="9" t="s">
        <v>8</v>
      </c>
      <c r="D98" s="9" t="s">
        <v>16</v>
      </c>
      <c r="E98" s="9">
        <v>2.0</v>
      </c>
      <c r="F98" s="10">
        <v>71268.0</v>
      </c>
      <c r="G98" s="10">
        <v>219137.0</v>
      </c>
      <c r="H98" s="9" t="str">
        <f t="shared" si="1"/>
        <v>NOT ACHIEVED</v>
      </c>
    </row>
    <row r="99" ht="15.75" customHeight="1">
      <c r="A99" s="9" t="s">
        <v>33</v>
      </c>
      <c r="B99" s="9" t="s">
        <v>7</v>
      </c>
      <c r="C99" s="9" t="s">
        <v>13</v>
      </c>
      <c r="D99" s="9" t="s">
        <v>16</v>
      </c>
      <c r="E99" s="9">
        <v>8.0</v>
      </c>
      <c r="F99" s="10">
        <v>189611.0</v>
      </c>
      <c r="G99" s="10">
        <v>248268.0</v>
      </c>
      <c r="H99" s="9" t="str">
        <f t="shared" si="1"/>
        <v>NOT ACHIEVED</v>
      </c>
    </row>
    <row r="100" ht="15.75" customHeight="1">
      <c r="A100" s="9" t="s">
        <v>47</v>
      </c>
      <c r="B100" s="9" t="s">
        <v>7</v>
      </c>
      <c r="C100" s="9" t="s">
        <v>13</v>
      </c>
      <c r="D100" s="9" t="s">
        <v>14</v>
      </c>
      <c r="E100" s="9">
        <v>15.0</v>
      </c>
      <c r="F100" s="10">
        <v>148704.0</v>
      </c>
      <c r="G100" s="10">
        <v>213632.0</v>
      </c>
      <c r="H100" s="9" t="str">
        <f t="shared" si="1"/>
        <v>NOT ACHIEVED</v>
      </c>
    </row>
    <row r="101" ht="15.75" customHeight="1">
      <c r="A101" s="9" t="s">
        <v>47</v>
      </c>
      <c r="B101" s="9" t="s">
        <v>10</v>
      </c>
      <c r="C101" s="9" t="s">
        <v>13</v>
      </c>
      <c r="D101" s="9" t="s">
        <v>16</v>
      </c>
      <c r="E101" s="9">
        <v>1.0</v>
      </c>
      <c r="F101" s="10">
        <v>23700.0</v>
      </c>
      <c r="G101" s="10">
        <v>96053.0</v>
      </c>
      <c r="H101" s="9" t="str">
        <f t="shared" si="1"/>
        <v>NOT ACHIEVED</v>
      </c>
    </row>
    <row r="102" ht="15.75" customHeight="1">
      <c r="A102" s="9" t="s">
        <v>41</v>
      </c>
      <c r="B102" s="9" t="s">
        <v>7</v>
      </c>
      <c r="C102" s="9" t="s">
        <v>15</v>
      </c>
      <c r="D102" s="9" t="s">
        <v>20</v>
      </c>
      <c r="E102" s="9">
        <v>9.0</v>
      </c>
      <c r="F102" s="10">
        <v>43487.0</v>
      </c>
      <c r="G102" s="10">
        <v>243603.0</v>
      </c>
      <c r="H102" s="9" t="str">
        <f t="shared" si="1"/>
        <v>NOT ACHIEVED</v>
      </c>
    </row>
    <row r="103" ht="15.75" customHeight="1">
      <c r="A103" s="9" t="s">
        <v>53</v>
      </c>
      <c r="B103" s="9" t="s">
        <v>12</v>
      </c>
      <c r="C103" s="9" t="s">
        <v>8</v>
      </c>
      <c r="D103" s="9" t="s">
        <v>14</v>
      </c>
      <c r="E103" s="9">
        <v>4.0</v>
      </c>
      <c r="F103" s="10">
        <v>119023.0</v>
      </c>
      <c r="G103" s="10">
        <v>244050.0</v>
      </c>
      <c r="H103" s="9" t="str">
        <f t="shared" si="1"/>
        <v>NOT ACHIEVED</v>
      </c>
    </row>
    <row r="104" ht="15.75" customHeight="1">
      <c r="A104" s="9" t="s">
        <v>44</v>
      </c>
      <c r="B104" s="9" t="s">
        <v>21</v>
      </c>
      <c r="C104" s="9" t="s">
        <v>8</v>
      </c>
      <c r="D104" s="9" t="s">
        <v>14</v>
      </c>
      <c r="E104" s="9">
        <v>1.0</v>
      </c>
      <c r="F104" s="10">
        <v>69126.0</v>
      </c>
      <c r="G104" s="10">
        <v>193542.0</v>
      </c>
      <c r="H104" s="9" t="str">
        <f t="shared" si="1"/>
        <v>NOT ACHIEVED</v>
      </c>
    </row>
    <row r="105" ht="15.75" customHeight="1">
      <c r="A105" s="9" t="s">
        <v>48</v>
      </c>
      <c r="B105" s="9" t="s">
        <v>12</v>
      </c>
      <c r="C105" s="9" t="s">
        <v>11</v>
      </c>
      <c r="D105" s="9" t="s">
        <v>14</v>
      </c>
      <c r="E105" s="9">
        <v>15.0</v>
      </c>
      <c r="F105" s="10">
        <v>18688.0</v>
      </c>
      <c r="G105" s="10">
        <v>63259.0</v>
      </c>
      <c r="H105" s="9" t="str">
        <f t="shared" si="1"/>
        <v>NOT ACHIEVED</v>
      </c>
    </row>
    <row r="106" ht="15.75" customHeight="1">
      <c r="A106" s="9" t="s">
        <v>43</v>
      </c>
      <c r="B106" s="9" t="s">
        <v>7</v>
      </c>
      <c r="C106" s="9" t="s">
        <v>8</v>
      </c>
      <c r="D106" s="9" t="s">
        <v>9</v>
      </c>
      <c r="E106" s="9">
        <v>3.0</v>
      </c>
      <c r="F106" s="10">
        <v>79967.0</v>
      </c>
      <c r="G106" s="10">
        <v>227351.0</v>
      </c>
      <c r="H106" s="9" t="str">
        <f t="shared" si="1"/>
        <v>NOT ACHIEVED</v>
      </c>
    </row>
    <row r="107" ht="15.75" customHeight="1">
      <c r="A107" s="9" t="s">
        <v>38</v>
      </c>
      <c r="B107" s="9" t="s">
        <v>10</v>
      </c>
      <c r="C107" s="9" t="s">
        <v>11</v>
      </c>
      <c r="D107" s="9" t="s">
        <v>14</v>
      </c>
      <c r="E107" s="9">
        <v>7.0</v>
      </c>
      <c r="F107" s="10">
        <v>222466.0</v>
      </c>
      <c r="G107" s="10">
        <v>95237.0</v>
      </c>
      <c r="H107" s="9" t="str">
        <f t="shared" si="1"/>
        <v>ACHIEVED</v>
      </c>
    </row>
    <row r="108" ht="15.75" customHeight="1">
      <c r="A108" s="9" t="s">
        <v>45</v>
      </c>
      <c r="B108" s="9" t="s">
        <v>10</v>
      </c>
      <c r="C108" s="9" t="s">
        <v>11</v>
      </c>
      <c r="D108" s="9" t="s">
        <v>16</v>
      </c>
      <c r="E108" s="9">
        <v>7.0</v>
      </c>
      <c r="F108" s="10">
        <v>270604.0</v>
      </c>
      <c r="G108" s="10">
        <v>20383.0</v>
      </c>
      <c r="H108" s="9" t="str">
        <f t="shared" si="1"/>
        <v>ACHIEVED</v>
      </c>
    </row>
    <row r="109" ht="15.75" customHeight="1">
      <c r="A109" s="9" t="s">
        <v>51</v>
      </c>
      <c r="B109" s="9" t="s">
        <v>21</v>
      </c>
      <c r="C109" s="9" t="s">
        <v>8</v>
      </c>
      <c r="D109" s="9" t="s">
        <v>9</v>
      </c>
      <c r="E109" s="9">
        <v>3.0</v>
      </c>
      <c r="F109" s="10">
        <v>205951.0</v>
      </c>
      <c r="G109" s="10">
        <v>71346.0</v>
      </c>
      <c r="H109" s="9" t="str">
        <f t="shared" si="1"/>
        <v>ACHIEVED</v>
      </c>
    </row>
    <row r="110" ht="15.75" customHeight="1">
      <c r="A110" s="9" t="s">
        <v>45</v>
      </c>
      <c r="B110" s="9" t="s">
        <v>21</v>
      </c>
      <c r="C110" s="9" t="s">
        <v>11</v>
      </c>
      <c r="D110" s="9" t="s">
        <v>14</v>
      </c>
      <c r="E110" s="9">
        <v>9.0</v>
      </c>
      <c r="F110" s="10">
        <v>31155.0</v>
      </c>
      <c r="G110" s="10">
        <v>45154.0</v>
      </c>
      <c r="H110" s="9" t="str">
        <f t="shared" si="1"/>
        <v>NOT ACHIEVED</v>
      </c>
    </row>
    <row r="111" ht="15.75" customHeight="1">
      <c r="A111" s="9" t="s">
        <v>29</v>
      </c>
      <c r="B111" s="9" t="s">
        <v>10</v>
      </c>
      <c r="C111" s="9" t="s">
        <v>11</v>
      </c>
      <c r="D111" s="9" t="s">
        <v>16</v>
      </c>
      <c r="E111" s="9">
        <v>14.0</v>
      </c>
      <c r="F111" s="10">
        <v>30795.0</v>
      </c>
      <c r="G111" s="10">
        <v>41552.0</v>
      </c>
      <c r="H111" s="9" t="str">
        <f t="shared" si="1"/>
        <v>NOT ACHIEVED</v>
      </c>
    </row>
    <row r="112" ht="15.75" customHeight="1">
      <c r="A112" s="9" t="s">
        <v>55</v>
      </c>
      <c r="B112" s="9" t="s">
        <v>10</v>
      </c>
      <c r="C112" s="9" t="s">
        <v>15</v>
      </c>
      <c r="D112" s="9" t="s">
        <v>9</v>
      </c>
      <c r="E112" s="9">
        <v>9.0</v>
      </c>
      <c r="F112" s="10">
        <v>211794.0</v>
      </c>
      <c r="G112" s="10">
        <v>31255.0</v>
      </c>
      <c r="H112" s="9" t="str">
        <f t="shared" si="1"/>
        <v>ACHIEVED</v>
      </c>
    </row>
    <row r="113" ht="15.75" customHeight="1">
      <c r="A113" s="9" t="s">
        <v>44</v>
      </c>
      <c r="B113" s="9" t="s">
        <v>21</v>
      </c>
      <c r="C113" s="9" t="s">
        <v>18</v>
      </c>
      <c r="D113" s="9" t="s">
        <v>16</v>
      </c>
      <c r="E113" s="9">
        <v>14.0</v>
      </c>
      <c r="F113" s="10">
        <v>156962.0</v>
      </c>
      <c r="G113" s="10">
        <v>184738.0</v>
      </c>
      <c r="H113" s="9" t="str">
        <f t="shared" si="1"/>
        <v>NOT ACHIEVED</v>
      </c>
    </row>
    <row r="114" ht="15.75" customHeight="1">
      <c r="A114" s="9" t="s">
        <v>43</v>
      </c>
      <c r="B114" s="9" t="s">
        <v>21</v>
      </c>
      <c r="C114" s="9" t="s">
        <v>13</v>
      </c>
      <c r="D114" s="9" t="s">
        <v>14</v>
      </c>
      <c r="E114" s="9">
        <v>11.0</v>
      </c>
      <c r="F114" s="10">
        <v>21053.0</v>
      </c>
      <c r="G114" s="10">
        <v>220584.0</v>
      </c>
      <c r="H114" s="9" t="str">
        <f t="shared" si="1"/>
        <v>NOT ACHIEVED</v>
      </c>
    </row>
    <row r="115" ht="15.75" customHeight="1">
      <c r="A115" s="9" t="s">
        <v>50</v>
      </c>
      <c r="B115" s="9" t="s">
        <v>19</v>
      </c>
      <c r="C115" s="9" t="s">
        <v>13</v>
      </c>
      <c r="D115" s="9" t="s">
        <v>9</v>
      </c>
      <c r="E115" s="9">
        <v>15.0</v>
      </c>
      <c r="F115" s="10">
        <v>218755.0</v>
      </c>
      <c r="G115" s="10">
        <v>128491.0</v>
      </c>
      <c r="H115" s="9" t="str">
        <f t="shared" si="1"/>
        <v>ACHIEVED</v>
      </c>
    </row>
    <row r="116" ht="15.75" customHeight="1">
      <c r="A116" s="9" t="s">
        <v>47</v>
      </c>
      <c r="B116" s="9" t="s">
        <v>7</v>
      </c>
      <c r="C116" s="9" t="s">
        <v>13</v>
      </c>
      <c r="D116" s="9" t="s">
        <v>16</v>
      </c>
      <c r="E116" s="9">
        <v>9.0</v>
      </c>
      <c r="F116" s="10">
        <v>81229.0</v>
      </c>
      <c r="G116" s="10">
        <v>56186.0</v>
      </c>
      <c r="H116" s="9" t="str">
        <f t="shared" si="1"/>
        <v>ACHIEVED</v>
      </c>
    </row>
    <row r="117" ht="15.75" customHeight="1">
      <c r="A117" s="9" t="s">
        <v>25</v>
      </c>
      <c r="B117" s="9" t="s">
        <v>21</v>
      </c>
      <c r="C117" s="9" t="s">
        <v>15</v>
      </c>
      <c r="D117" s="9" t="s">
        <v>9</v>
      </c>
      <c r="E117" s="9">
        <v>4.0</v>
      </c>
      <c r="F117" s="10">
        <v>223628.0</v>
      </c>
      <c r="G117" s="10">
        <v>109272.0</v>
      </c>
      <c r="H117" s="9" t="str">
        <f t="shared" si="1"/>
        <v>ACHIEVED</v>
      </c>
    </row>
    <row r="118" ht="15.75" customHeight="1">
      <c r="A118" s="9" t="s">
        <v>46</v>
      </c>
      <c r="B118" s="9" t="s">
        <v>12</v>
      </c>
      <c r="C118" s="9" t="s">
        <v>18</v>
      </c>
      <c r="D118" s="9" t="s">
        <v>16</v>
      </c>
      <c r="E118" s="9">
        <v>15.0</v>
      </c>
      <c r="F118" s="10">
        <v>193523.0</v>
      </c>
      <c r="G118" s="10">
        <v>39783.0</v>
      </c>
      <c r="H118" s="9" t="str">
        <f t="shared" si="1"/>
        <v>ACHIEVED</v>
      </c>
    </row>
    <row r="119" ht="15.75" customHeight="1">
      <c r="A119" s="9" t="s">
        <v>46</v>
      </c>
      <c r="B119" s="9" t="s">
        <v>12</v>
      </c>
      <c r="C119" s="9" t="s">
        <v>13</v>
      </c>
      <c r="D119" s="9" t="s">
        <v>14</v>
      </c>
      <c r="E119" s="9">
        <v>7.0</v>
      </c>
      <c r="F119" s="10">
        <v>202897.0</v>
      </c>
      <c r="G119" s="10">
        <v>164677.0</v>
      </c>
      <c r="H119" s="9" t="str">
        <f t="shared" si="1"/>
        <v>ACHIEVED</v>
      </c>
    </row>
    <row r="120" ht="15.75" customHeight="1">
      <c r="A120" s="9" t="s">
        <v>41</v>
      </c>
      <c r="B120" s="9" t="s">
        <v>7</v>
      </c>
      <c r="C120" s="9" t="s">
        <v>22</v>
      </c>
      <c r="D120" s="9" t="s">
        <v>17</v>
      </c>
      <c r="E120" s="9">
        <v>10.0</v>
      </c>
      <c r="F120" s="10">
        <v>70711.0</v>
      </c>
      <c r="G120" s="10">
        <v>177992.0</v>
      </c>
      <c r="H120" s="9" t="str">
        <f t="shared" si="1"/>
        <v>NOT ACHIEVED</v>
      </c>
    </row>
    <row r="121" ht="15.75" customHeight="1">
      <c r="A121" s="9" t="s">
        <v>51</v>
      </c>
      <c r="B121" s="9" t="s">
        <v>10</v>
      </c>
      <c r="C121" s="9" t="s">
        <v>11</v>
      </c>
      <c r="D121" s="9" t="s">
        <v>17</v>
      </c>
      <c r="E121" s="9">
        <v>4.0</v>
      </c>
      <c r="F121" s="10">
        <v>15792.0</v>
      </c>
      <c r="G121" s="10">
        <v>101568.0</v>
      </c>
      <c r="H121" s="9" t="str">
        <f t="shared" si="1"/>
        <v>NOT ACHIEVED</v>
      </c>
    </row>
    <row r="122" ht="15.75" customHeight="1">
      <c r="A122" s="9" t="s">
        <v>45</v>
      </c>
      <c r="B122" s="9" t="s">
        <v>10</v>
      </c>
      <c r="C122" s="9" t="s">
        <v>22</v>
      </c>
      <c r="D122" s="9" t="s">
        <v>14</v>
      </c>
      <c r="E122" s="9">
        <v>12.0</v>
      </c>
      <c r="F122" s="10">
        <v>33470.0</v>
      </c>
      <c r="G122" s="10">
        <v>32411.0</v>
      </c>
      <c r="H122" s="9" t="str">
        <f t="shared" si="1"/>
        <v>ACHIEVED</v>
      </c>
    </row>
    <row r="123" ht="15.75" customHeight="1">
      <c r="A123" s="9" t="s">
        <v>48</v>
      </c>
      <c r="B123" s="9" t="s">
        <v>7</v>
      </c>
      <c r="C123" s="9" t="s">
        <v>8</v>
      </c>
      <c r="D123" s="9" t="s">
        <v>9</v>
      </c>
      <c r="E123" s="9">
        <v>13.0</v>
      </c>
      <c r="F123" s="10">
        <v>98501.0</v>
      </c>
      <c r="G123" s="10">
        <v>136446.0</v>
      </c>
      <c r="H123" s="9" t="str">
        <f t="shared" si="1"/>
        <v>NOT ACHIEVED</v>
      </c>
    </row>
    <row r="124" ht="15.75" customHeight="1">
      <c r="A124" s="9" t="s">
        <v>39</v>
      </c>
      <c r="B124" s="9" t="s">
        <v>10</v>
      </c>
      <c r="C124" s="9" t="s">
        <v>13</v>
      </c>
      <c r="D124" s="9" t="s">
        <v>14</v>
      </c>
      <c r="E124" s="9">
        <v>8.0</v>
      </c>
      <c r="F124" s="10">
        <v>293152.0</v>
      </c>
      <c r="G124" s="10">
        <v>52923.0</v>
      </c>
      <c r="H124" s="9" t="str">
        <f t="shared" si="1"/>
        <v>ACHIEVED</v>
      </c>
    </row>
    <row r="125" ht="15.75" customHeight="1">
      <c r="A125" s="9" t="s">
        <v>53</v>
      </c>
      <c r="B125" s="9" t="s">
        <v>10</v>
      </c>
      <c r="C125" s="9" t="s">
        <v>22</v>
      </c>
      <c r="D125" s="9" t="s">
        <v>20</v>
      </c>
      <c r="E125" s="9">
        <v>8.0</v>
      </c>
      <c r="F125" s="10">
        <v>195083.0</v>
      </c>
      <c r="G125" s="10">
        <v>103918.0</v>
      </c>
      <c r="H125" s="9" t="str">
        <f t="shared" si="1"/>
        <v>ACHIEVED</v>
      </c>
    </row>
    <row r="126" ht="15.75" customHeight="1">
      <c r="A126" s="9" t="s">
        <v>32</v>
      </c>
      <c r="B126" s="9" t="s">
        <v>19</v>
      </c>
      <c r="C126" s="9" t="s">
        <v>8</v>
      </c>
      <c r="D126" s="9" t="s">
        <v>14</v>
      </c>
      <c r="E126" s="9">
        <v>13.0</v>
      </c>
      <c r="F126" s="10">
        <v>114956.0</v>
      </c>
      <c r="G126" s="10">
        <v>55204.0</v>
      </c>
      <c r="H126" s="9" t="str">
        <f t="shared" si="1"/>
        <v>ACHIEVED</v>
      </c>
    </row>
    <row r="127" ht="15.75" customHeight="1">
      <c r="A127" s="9" t="s">
        <v>56</v>
      </c>
      <c r="B127" s="9" t="s">
        <v>21</v>
      </c>
      <c r="C127" s="9" t="s">
        <v>15</v>
      </c>
      <c r="D127" s="9" t="s">
        <v>20</v>
      </c>
      <c r="E127" s="9">
        <v>3.0</v>
      </c>
      <c r="F127" s="10">
        <v>221732.0</v>
      </c>
      <c r="G127" s="10">
        <v>218297.0</v>
      </c>
      <c r="H127" s="9" t="str">
        <f t="shared" si="1"/>
        <v>ACHIEVED</v>
      </c>
    </row>
    <row r="128" ht="15.75" customHeight="1">
      <c r="A128" s="9" t="s">
        <v>50</v>
      </c>
      <c r="B128" s="9" t="s">
        <v>7</v>
      </c>
      <c r="C128" s="9" t="s">
        <v>8</v>
      </c>
      <c r="D128" s="9" t="s">
        <v>20</v>
      </c>
      <c r="E128" s="9">
        <v>4.0</v>
      </c>
      <c r="F128" s="10">
        <v>21454.0</v>
      </c>
      <c r="G128" s="10">
        <v>98315.0</v>
      </c>
      <c r="H128" s="9" t="str">
        <f t="shared" si="1"/>
        <v>NOT ACHIEVED</v>
      </c>
    </row>
    <row r="129" ht="15.75" customHeight="1">
      <c r="A129" s="9" t="s">
        <v>56</v>
      </c>
      <c r="B129" s="9" t="s">
        <v>10</v>
      </c>
      <c r="C129" s="9" t="s">
        <v>22</v>
      </c>
      <c r="D129" s="9" t="s">
        <v>14</v>
      </c>
      <c r="E129" s="9">
        <v>7.0</v>
      </c>
      <c r="F129" s="10">
        <v>251981.0</v>
      </c>
      <c r="G129" s="10">
        <v>236379.0</v>
      </c>
      <c r="H129" s="9" t="str">
        <f t="shared" si="1"/>
        <v>ACHIEVED</v>
      </c>
    </row>
    <row r="130" ht="15.75" customHeight="1">
      <c r="A130" s="9" t="s">
        <v>25</v>
      </c>
      <c r="B130" s="9" t="s">
        <v>12</v>
      </c>
      <c r="C130" s="9" t="s">
        <v>22</v>
      </c>
      <c r="D130" s="9" t="s">
        <v>9</v>
      </c>
      <c r="E130" s="9">
        <v>3.0</v>
      </c>
      <c r="F130" s="10">
        <v>62074.0</v>
      </c>
      <c r="G130" s="10">
        <v>174275.0</v>
      </c>
      <c r="H130" s="9" t="str">
        <f t="shared" si="1"/>
        <v>NOT ACHIEVED</v>
      </c>
    </row>
    <row r="131" ht="15.75" customHeight="1">
      <c r="A131" s="9" t="s">
        <v>38</v>
      </c>
      <c r="B131" s="9" t="s">
        <v>12</v>
      </c>
      <c r="C131" s="9" t="s">
        <v>11</v>
      </c>
      <c r="D131" s="9" t="s">
        <v>14</v>
      </c>
      <c r="E131" s="9">
        <v>6.0</v>
      </c>
      <c r="F131" s="10">
        <v>144878.0</v>
      </c>
      <c r="G131" s="10">
        <v>248745.0</v>
      </c>
      <c r="H131" s="9" t="str">
        <f t="shared" si="1"/>
        <v>NOT ACHIEVED</v>
      </c>
    </row>
    <row r="132" ht="15.75" customHeight="1">
      <c r="A132" s="9" t="s">
        <v>48</v>
      </c>
      <c r="B132" s="9" t="s">
        <v>7</v>
      </c>
      <c r="C132" s="9" t="s">
        <v>8</v>
      </c>
      <c r="D132" s="9" t="s">
        <v>9</v>
      </c>
      <c r="E132" s="9">
        <v>13.0</v>
      </c>
      <c r="F132" s="10">
        <v>273206.0</v>
      </c>
      <c r="G132" s="10">
        <v>150440.0</v>
      </c>
      <c r="H132" s="9" t="str">
        <f t="shared" si="1"/>
        <v>ACHIEVED</v>
      </c>
    </row>
    <row r="133" ht="15.75" customHeight="1">
      <c r="A133" s="9" t="s">
        <v>48</v>
      </c>
      <c r="B133" s="9" t="s">
        <v>19</v>
      </c>
      <c r="C133" s="9" t="s">
        <v>11</v>
      </c>
      <c r="D133" s="9" t="s">
        <v>16</v>
      </c>
      <c r="E133" s="9">
        <v>15.0</v>
      </c>
      <c r="F133" s="10">
        <v>28628.0</v>
      </c>
      <c r="G133" s="10">
        <v>209595.0</v>
      </c>
      <c r="H133" s="9" t="str">
        <f t="shared" si="1"/>
        <v>NOT ACHIEVED</v>
      </c>
    </row>
    <row r="134" ht="15.75" customHeight="1">
      <c r="A134" s="9" t="s">
        <v>55</v>
      </c>
      <c r="B134" s="9" t="s">
        <v>21</v>
      </c>
      <c r="C134" s="9" t="s">
        <v>11</v>
      </c>
      <c r="D134" s="9" t="s">
        <v>9</v>
      </c>
      <c r="E134" s="9">
        <v>3.0</v>
      </c>
      <c r="F134" s="10">
        <v>138306.0</v>
      </c>
      <c r="G134" s="10">
        <v>93174.0</v>
      </c>
      <c r="H134" s="9" t="str">
        <f t="shared" si="1"/>
        <v>ACHIEVED</v>
      </c>
    </row>
    <row r="135" ht="15.75" customHeight="1">
      <c r="A135" s="9" t="s">
        <v>29</v>
      </c>
      <c r="B135" s="9" t="s">
        <v>10</v>
      </c>
      <c r="C135" s="9" t="s">
        <v>22</v>
      </c>
      <c r="D135" s="9" t="s">
        <v>17</v>
      </c>
      <c r="E135" s="9">
        <v>12.0</v>
      </c>
      <c r="F135" s="10">
        <v>40858.0</v>
      </c>
      <c r="G135" s="10">
        <v>90278.0</v>
      </c>
      <c r="H135" s="9" t="str">
        <f t="shared" si="1"/>
        <v>NOT ACHIEVED</v>
      </c>
    </row>
    <row r="136" ht="15.75" customHeight="1">
      <c r="A136" s="9" t="s">
        <v>47</v>
      </c>
      <c r="B136" s="9" t="s">
        <v>10</v>
      </c>
      <c r="C136" s="9" t="s">
        <v>18</v>
      </c>
      <c r="D136" s="9" t="s">
        <v>16</v>
      </c>
      <c r="E136" s="9">
        <v>10.0</v>
      </c>
      <c r="F136" s="10">
        <v>155042.0</v>
      </c>
      <c r="G136" s="10">
        <v>161498.0</v>
      </c>
      <c r="H136" s="9" t="str">
        <f t="shared" si="1"/>
        <v>NOT ACHIEVED</v>
      </c>
    </row>
    <row r="137" ht="15.75" customHeight="1">
      <c r="A137" s="9" t="s">
        <v>44</v>
      </c>
      <c r="B137" s="9" t="s">
        <v>19</v>
      </c>
      <c r="C137" s="9" t="s">
        <v>13</v>
      </c>
      <c r="D137" s="9" t="s">
        <v>14</v>
      </c>
      <c r="E137" s="9">
        <v>2.0</v>
      </c>
      <c r="F137" s="10">
        <v>263807.0</v>
      </c>
      <c r="G137" s="10">
        <v>45025.0</v>
      </c>
      <c r="H137" s="9" t="str">
        <f t="shared" si="1"/>
        <v>ACHIEVED</v>
      </c>
    </row>
    <row r="138" ht="15.75" customHeight="1">
      <c r="A138" s="9" t="s">
        <v>47</v>
      </c>
      <c r="B138" s="9" t="s">
        <v>19</v>
      </c>
      <c r="C138" s="9" t="s">
        <v>11</v>
      </c>
      <c r="D138" s="9" t="s">
        <v>9</v>
      </c>
      <c r="E138" s="9">
        <v>5.0</v>
      </c>
      <c r="F138" s="10">
        <v>165190.0</v>
      </c>
      <c r="G138" s="10">
        <v>221614.0</v>
      </c>
      <c r="H138" s="9" t="str">
        <f t="shared" si="1"/>
        <v>NOT ACHIEVED</v>
      </c>
    </row>
    <row r="139" ht="15.75" customHeight="1">
      <c r="A139" s="9" t="s">
        <v>32</v>
      </c>
      <c r="B139" s="9" t="s">
        <v>12</v>
      </c>
      <c r="C139" s="9" t="s">
        <v>18</v>
      </c>
      <c r="D139" s="9" t="s">
        <v>16</v>
      </c>
      <c r="E139" s="9">
        <v>1.0</v>
      </c>
      <c r="F139" s="10">
        <v>246767.0</v>
      </c>
      <c r="G139" s="10">
        <v>244755.0</v>
      </c>
      <c r="H139" s="9" t="str">
        <f t="shared" si="1"/>
        <v>ACHIEVED</v>
      </c>
    </row>
    <row r="140" ht="15.75" customHeight="1">
      <c r="A140" s="9" t="s">
        <v>50</v>
      </c>
      <c r="B140" s="9" t="s">
        <v>7</v>
      </c>
      <c r="C140" s="9" t="s">
        <v>8</v>
      </c>
      <c r="D140" s="9" t="s">
        <v>9</v>
      </c>
      <c r="E140" s="9">
        <v>1.0</v>
      </c>
      <c r="F140" s="10">
        <v>202206.0</v>
      </c>
      <c r="G140" s="10">
        <v>85746.0</v>
      </c>
      <c r="H140" s="9" t="str">
        <f t="shared" si="1"/>
        <v>ACHIEVED</v>
      </c>
    </row>
    <row r="141" ht="15.75" customHeight="1">
      <c r="A141" s="9" t="s">
        <v>25</v>
      </c>
      <c r="B141" s="9" t="s">
        <v>21</v>
      </c>
      <c r="C141" s="9" t="s">
        <v>13</v>
      </c>
      <c r="D141" s="9" t="s">
        <v>17</v>
      </c>
      <c r="E141" s="9">
        <v>9.0</v>
      </c>
      <c r="F141" s="10">
        <v>181489.0</v>
      </c>
      <c r="G141" s="10">
        <v>116151.0</v>
      </c>
      <c r="H141" s="9" t="str">
        <f t="shared" si="1"/>
        <v>ACHIEVED</v>
      </c>
    </row>
    <row r="142" ht="15.75" customHeight="1">
      <c r="A142" s="9" t="s">
        <v>25</v>
      </c>
      <c r="B142" s="9" t="s">
        <v>12</v>
      </c>
      <c r="C142" s="9" t="s">
        <v>13</v>
      </c>
      <c r="D142" s="9" t="s">
        <v>17</v>
      </c>
      <c r="E142" s="9">
        <v>14.0</v>
      </c>
      <c r="F142" s="10">
        <v>298365.0</v>
      </c>
      <c r="G142" s="10">
        <v>122184.0</v>
      </c>
      <c r="H142" s="9" t="str">
        <f t="shared" si="1"/>
        <v>ACHIEVED</v>
      </c>
    </row>
    <row r="143" ht="15.75" customHeight="1">
      <c r="A143" s="9" t="s">
        <v>43</v>
      </c>
      <c r="B143" s="9" t="s">
        <v>21</v>
      </c>
      <c r="C143" s="9" t="s">
        <v>15</v>
      </c>
      <c r="D143" s="9" t="s">
        <v>16</v>
      </c>
      <c r="E143" s="9">
        <v>1.0</v>
      </c>
      <c r="F143" s="10">
        <v>227699.0</v>
      </c>
      <c r="G143" s="10">
        <v>206541.0</v>
      </c>
      <c r="H143" s="9" t="str">
        <f t="shared" si="1"/>
        <v>ACHIEVED</v>
      </c>
    </row>
    <row r="144" ht="15.75" customHeight="1">
      <c r="A144" s="9" t="s">
        <v>30</v>
      </c>
      <c r="B144" s="9" t="s">
        <v>21</v>
      </c>
      <c r="C144" s="9" t="s">
        <v>13</v>
      </c>
      <c r="D144" s="9" t="s">
        <v>20</v>
      </c>
      <c r="E144" s="9">
        <v>10.0</v>
      </c>
      <c r="F144" s="10">
        <v>80331.0</v>
      </c>
      <c r="G144" s="10">
        <v>200978.0</v>
      </c>
      <c r="H144" s="9" t="str">
        <f t="shared" si="1"/>
        <v>NOT ACHIEVED</v>
      </c>
    </row>
    <row r="145" ht="15.75" customHeight="1">
      <c r="A145" s="9" t="s">
        <v>44</v>
      </c>
      <c r="B145" s="9" t="s">
        <v>10</v>
      </c>
      <c r="C145" s="9" t="s">
        <v>13</v>
      </c>
      <c r="D145" s="9" t="s">
        <v>14</v>
      </c>
      <c r="E145" s="9">
        <v>3.0</v>
      </c>
      <c r="F145" s="10">
        <v>179567.0</v>
      </c>
      <c r="G145" s="10">
        <v>66361.0</v>
      </c>
      <c r="H145" s="9" t="str">
        <f t="shared" si="1"/>
        <v>ACHIEVED</v>
      </c>
    </row>
    <row r="146" ht="15.75" customHeight="1">
      <c r="A146" s="9" t="s">
        <v>44</v>
      </c>
      <c r="B146" s="9" t="s">
        <v>10</v>
      </c>
      <c r="C146" s="9" t="s">
        <v>15</v>
      </c>
      <c r="D146" s="9" t="s">
        <v>14</v>
      </c>
      <c r="E146" s="9">
        <v>1.0</v>
      </c>
      <c r="F146" s="10">
        <v>125893.0</v>
      </c>
      <c r="G146" s="10">
        <v>55929.0</v>
      </c>
      <c r="H146" s="9" t="str">
        <f t="shared" si="1"/>
        <v>ACHIEVED</v>
      </c>
    </row>
    <row r="147" ht="15.75" customHeight="1">
      <c r="A147" s="9" t="s">
        <v>51</v>
      </c>
      <c r="B147" s="9" t="s">
        <v>7</v>
      </c>
      <c r="C147" s="9" t="s">
        <v>15</v>
      </c>
      <c r="D147" s="9" t="s">
        <v>14</v>
      </c>
      <c r="E147" s="9">
        <v>9.0</v>
      </c>
      <c r="F147" s="10">
        <v>48227.0</v>
      </c>
      <c r="G147" s="10">
        <v>171886.0</v>
      </c>
      <c r="H147" s="9" t="str">
        <f t="shared" si="1"/>
        <v>NOT ACHIEVED</v>
      </c>
    </row>
    <row r="148" ht="15.75" customHeight="1">
      <c r="A148" s="9" t="s">
        <v>49</v>
      </c>
      <c r="B148" s="9" t="s">
        <v>7</v>
      </c>
      <c r="C148" s="9" t="s">
        <v>13</v>
      </c>
      <c r="D148" s="9" t="s">
        <v>20</v>
      </c>
      <c r="E148" s="9">
        <v>8.0</v>
      </c>
      <c r="F148" s="10">
        <v>55236.0</v>
      </c>
      <c r="G148" s="10">
        <v>133169.0</v>
      </c>
      <c r="H148" s="9" t="str">
        <f t="shared" si="1"/>
        <v>NOT ACHIEVED</v>
      </c>
    </row>
    <row r="149" ht="15.75" customHeight="1">
      <c r="A149" s="9" t="s">
        <v>24</v>
      </c>
      <c r="B149" s="9" t="s">
        <v>19</v>
      </c>
      <c r="C149" s="9" t="s">
        <v>22</v>
      </c>
      <c r="D149" s="9" t="s">
        <v>17</v>
      </c>
      <c r="E149" s="9">
        <v>7.0</v>
      </c>
      <c r="F149" s="10">
        <v>72634.0</v>
      </c>
      <c r="G149" s="10">
        <v>146156.0</v>
      </c>
      <c r="H149" s="9" t="str">
        <f t="shared" si="1"/>
        <v>NOT ACHIEVED</v>
      </c>
    </row>
    <row r="150" ht="15.75" customHeight="1">
      <c r="A150" s="9" t="s">
        <v>49</v>
      </c>
      <c r="B150" s="9" t="s">
        <v>19</v>
      </c>
      <c r="C150" s="9" t="s">
        <v>22</v>
      </c>
      <c r="D150" s="9" t="s">
        <v>17</v>
      </c>
      <c r="E150" s="9">
        <v>12.0</v>
      </c>
      <c r="F150" s="10">
        <v>122281.0</v>
      </c>
      <c r="G150" s="10">
        <v>85074.0</v>
      </c>
      <c r="H150" s="9" t="str">
        <f t="shared" si="1"/>
        <v>ACHIEVED</v>
      </c>
    </row>
    <row r="151" ht="15.75" customHeight="1">
      <c r="A151" s="9" t="s">
        <v>32</v>
      </c>
      <c r="B151" s="9" t="s">
        <v>7</v>
      </c>
      <c r="C151" s="9" t="s">
        <v>11</v>
      </c>
      <c r="D151" s="9" t="s">
        <v>20</v>
      </c>
      <c r="E151" s="9">
        <v>8.0</v>
      </c>
      <c r="F151" s="10">
        <v>266108.0</v>
      </c>
      <c r="G151" s="10">
        <v>131705.0</v>
      </c>
      <c r="H151" s="9" t="str">
        <f t="shared" si="1"/>
        <v>ACHIEVED</v>
      </c>
    </row>
    <row r="152" ht="15.75" customHeight="1">
      <c r="A152" s="9" t="s">
        <v>54</v>
      </c>
      <c r="B152" s="9" t="s">
        <v>21</v>
      </c>
      <c r="C152" s="9" t="s">
        <v>11</v>
      </c>
      <c r="D152" s="9" t="s">
        <v>17</v>
      </c>
      <c r="E152" s="9">
        <v>11.0</v>
      </c>
      <c r="F152" s="10">
        <v>276962.0</v>
      </c>
      <c r="G152" s="10">
        <v>182719.0</v>
      </c>
      <c r="H152" s="9" t="str">
        <f t="shared" si="1"/>
        <v>ACHIEVED</v>
      </c>
    </row>
    <row r="153" ht="15.75" customHeight="1">
      <c r="A153" s="9" t="s">
        <v>46</v>
      </c>
      <c r="B153" s="9" t="s">
        <v>19</v>
      </c>
      <c r="C153" s="9" t="s">
        <v>8</v>
      </c>
      <c r="D153" s="9" t="s">
        <v>17</v>
      </c>
      <c r="E153" s="9">
        <v>5.0</v>
      </c>
      <c r="F153" s="10">
        <v>32736.0</v>
      </c>
      <c r="G153" s="10">
        <v>68102.0</v>
      </c>
      <c r="H153" s="9" t="str">
        <f t="shared" si="1"/>
        <v>NOT ACHIEVED</v>
      </c>
    </row>
    <row r="154" ht="15.75" customHeight="1">
      <c r="A154" s="9" t="s">
        <v>38</v>
      </c>
      <c r="B154" s="9" t="s">
        <v>21</v>
      </c>
      <c r="C154" s="9" t="s">
        <v>22</v>
      </c>
      <c r="D154" s="9" t="s">
        <v>16</v>
      </c>
      <c r="E154" s="9">
        <v>13.0</v>
      </c>
      <c r="F154" s="10">
        <v>214250.0</v>
      </c>
      <c r="G154" s="10">
        <v>97234.0</v>
      </c>
      <c r="H154" s="9" t="str">
        <f t="shared" si="1"/>
        <v>ACHIEVED</v>
      </c>
    </row>
    <row r="155" ht="15.75" customHeight="1">
      <c r="A155" s="9" t="s">
        <v>31</v>
      </c>
      <c r="B155" s="9" t="s">
        <v>21</v>
      </c>
      <c r="C155" s="9" t="s">
        <v>15</v>
      </c>
      <c r="D155" s="9" t="s">
        <v>17</v>
      </c>
      <c r="E155" s="9">
        <v>2.0</v>
      </c>
      <c r="F155" s="10">
        <v>193701.0</v>
      </c>
      <c r="G155" s="10">
        <v>51968.0</v>
      </c>
      <c r="H155" s="9" t="str">
        <f t="shared" si="1"/>
        <v>ACHIEVED</v>
      </c>
    </row>
    <row r="156" ht="15.75" customHeight="1">
      <c r="A156" s="9" t="s">
        <v>41</v>
      </c>
      <c r="B156" s="9" t="s">
        <v>21</v>
      </c>
      <c r="C156" s="9" t="s">
        <v>8</v>
      </c>
      <c r="D156" s="9" t="s">
        <v>9</v>
      </c>
      <c r="E156" s="9">
        <v>13.0</v>
      </c>
      <c r="F156" s="10">
        <v>296343.0</v>
      </c>
      <c r="G156" s="10">
        <v>23473.0</v>
      </c>
      <c r="H156" s="9" t="str">
        <f t="shared" si="1"/>
        <v>ACHIEVED</v>
      </c>
    </row>
    <row r="157" ht="15.75" customHeight="1">
      <c r="A157" s="9" t="s">
        <v>24</v>
      </c>
      <c r="B157" s="9" t="s">
        <v>10</v>
      </c>
      <c r="C157" s="9" t="s">
        <v>8</v>
      </c>
      <c r="D157" s="9" t="s">
        <v>17</v>
      </c>
      <c r="E157" s="9">
        <v>11.0</v>
      </c>
      <c r="F157" s="10">
        <v>191366.0</v>
      </c>
      <c r="G157" s="10">
        <v>22170.0</v>
      </c>
      <c r="H157" s="9" t="str">
        <f t="shared" si="1"/>
        <v>ACHIEVED</v>
      </c>
    </row>
    <row r="158" ht="15.75" customHeight="1">
      <c r="A158" s="9" t="s">
        <v>51</v>
      </c>
      <c r="B158" s="9" t="s">
        <v>7</v>
      </c>
      <c r="C158" s="9" t="s">
        <v>8</v>
      </c>
      <c r="D158" s="9" t="s">
        <v>20</v>
      </c>
      <c r="E158" s="9">
        <v>10.0</v>
      </c>
      <c r="F158" s="10">
        <v>172881.0</v>
      </c>
      <c r="G158" s="10">
        <v>192803.0</v>
      </c>
      <c r="H158" s="9" t="str">
        <f t="shared" si="1"/>
        <v>NOT ACHIEVED</v>
      </c>
    </row>
    <row r="159" ht="15.75" customHeight="1">
      <c r="A159" s="9" t="s">
        <v>41</v>
      </c>
      <c r="B159" s="9" t="s">
        <v>7</v>
      </c>
      <c r="C159" s="9" t="s">
        <v>13</v>
      </c>
      <c r="D159" s="9" t="s">
        <v>16</v>
      </c>
      <c r="E159" s="9">
        <v>6.0</v>
      </c>
      <c r="F159" s="10">
        <v>257504.0</v>
      </c>
      <c r="G159" s="10">
        <v>130271.0</v>
      </c>
      <c r="H159" s="9" t="str">
        <f t="shared" si="1"/>
        <v>ACHIEVED</v>
      </c>
    </row>
    <row r="160" ht="15.75" customHeight="1">
      <c r="A160" s="9" t="s">
        <v>44</v>
      </c>
      <c r="B160" s="9" t="s">
        <v>19</v>
      </c>
      <c r="C160" s="9" t="s">
        <v>13</v>
      </c>
      <c r="D160" s="9" t="s">
        <v>20</v>
      </c>
      <c r="E160" s="9">
        <v>13.0</v>
      </c>
      <c r="F160" s="10">
        <v>57619.0</v>
      </c>
      <c r="G160" s="10">
        <v>235955.0</v>
      </c>
      <c r="H160" s="9" t="str">
        <f t="shared" si="1"/>
        <v>NOT ACHIEVED</v>
      </c>
    </row>
    <row r="161" ht="15.75" customHeight="1">
      <c r="A161" s="9" t="s">
        <v>37</v>
      </c>
      <c r="B161" s="9" t="s">
        <v>19</v>
      </c>
      <c r="C161" s="9" t="s">
        <v>11</v>
      </c>
      <c r="D161" s="9" t="s">
        <v>20</v>
      </c>
      <c r="E161" s="9">
        <v>12.0</v>
      </c>
      <c r="F161" s="10">
        <v>267260.0</v>
      </c>
      <c r="G161" s="10">
        <v>160316.0</v>
      </c>
      <c r="H161" s="9" t="str">
        <f t="shared" si="1"/>
        <v>ACHIEVED</v>
      </c>
    </row>
    <row r="162" ht="15.75" customHeight="1">
      <c r="A162" s="9" t="s">
        <v>33</v>
      </c>
      <c r="B162" s="9" t="s">
        <v>21</v>
      </c>
      <c r="C162" s="9" t="s">
        <v>22</v>
      </c>
      <c r="D162" s="9" t="s">
        <v>16</v>
      </c>
      <c r="E162" s="9">
        <v>11.0</v>
      </c>
      <c r="F162" s="10">
        <v>46030.0</v>
      </c>
      <c r="G162" s="10">
        <v>226481.0</v>
      </c>
      <c r="H162" s="9" t="str">
        <f t="shared" si="1"/>
        <v>NOT ACHIEVED</v>
      </c>
    </row>
    <row r="163" ht="15.75" customHeight="1">
      <c r="A163" s="9" t="s">
        <v>33</v>
      </c>
      <c r="B163" s="9" t="s">
        <v>21</v>
      </c>
      <c r="C163" s="9" t="s">
        <v>22</v>
      </c>
      <c r="D163" s="9" t="s">
        <v>14</v>
      </c>
      <c r="E163" s="9">
        <v>15.0</v>
      </c>
      <c r="F163" s="10">
        <v>165944.0</v>
      </c>
      <c r="G163" s="10">
        <v>89608.0</v>
      </c>
      <c r="H163" s="9" t="str">
        <f t="shared" si="1"/>
        <v>ACHIEVED</v>
      </c>
    </row>
    <row r="164" ht="15.75" customHeight="1">
      <c r="A164" s="9" t="s">
        <v>25</v>
      </c>
      <c r="B164" s="9" t="s">
        <v>10</v>
      </c>
      <c r="C164" s="9" t="s">
        <v>8</v>
      </c>
      <c r="D164" s="9" t="s">
        <v>9</v>
      </c>
      <c r="E164" s="9">
        <v>3.0</v>
      </c>
      <c r="F164" s="10">
        <v>264993.0</v>
      </c>
      <c r="G164" s="10">
        <v>182532.0</v>
      </c>
      <c r="H164" s="9" t="str">
        <f t="shared" si="1"/>
        <v>ACHIEVED</v>
      </c>
    </row>
    <row r="165" ht="15.75" customHeight="1">
      <c r="A165" s="9" t="s">
        <v>34</v>
      </c>
      <c r="B165" s="9" t="s">
        <v>12</v>
      </c>
      <c r="C165" s="9" t="s">
        <v>15</v>
      </c>
      <c r="D165" s="9" t="s">
        <v>20</v>
      </c>
      <c r="E165" s="9">
        <v>13.0</v>
      </c>
      <c r="F165" s="10">
        <v>100525.0</v>
      </c>
      <c r="G165" s="10">
        <v>101713.0</v>
      </c>
      <c r="H165" s="9" t="str">
        <f t="shared" si="1"/>
        <v>NOT ACHIEVED</v>
      </c>
    </row>
    <row r="166" ht="15.75" customHeight="1">
      <c r="A166" s="9" t="s">
        <v>51</v>
      </c>
      <c r="B166" s="9" t="s">
        <v>19</v>
      </c>
      <c r="C166" s="9" t="s">
        <v>22</v>
      </c>
      <c r="D166" s="9" t="s">
        <v>16</v>
      </c>
      <c r="E166" s="9">
        <v>5.0</v>
      </c>
      <c r="F166" s="10">
        <v>31580.0</v>
      </c>
      <c r="G166" s="10">
        <v>217235.0</v>
      </c>
      <c r="H166" s="9" t="str">
        <f t="shared" si="1"/>
        <v>NOT ACHIEVED</v>
      </c>
    </row>
    <row r="167" ht="15.75" customHeight="1">
      <c r="A167" s="9" t="s">
        <v>44</v>
      </c>
      <c r="B167" s="9" t="s">
        <v>19</v>
      </c>
      <c r="C167" s="9" t="s">
        <v>8</v>
      </c>
      <c r="D167" s="9" t="s">
        <v>17</v>
      </c>
      <c r="E167" s="9">
        <v>14.0</v>
      </c>
      <c r="F167" s="10">
        <v>52458.0</v>
      </c>
      <c r="G167" s="10">
        <v>115788.0</v>
      </c>
      <c r="H167" s="9" t="str">
        <f t="shared" si="1"/>
        <v>NOT ACHIEVED</v>
      </c>
    </row>
    <row r="168" ht="15.75" customHeight="1">
      <c r="A168" s="9" t="s">
        <v>32</v>
      </c>
      <c r="B168" s="9" t="s">
        <v>21</v>
      </c>
      <c r="C168" s="9" t="s">
        <v>13</v>
      </c>
      <c r="D168" s="9" t="s">
        <v>14</v>
      </c>
      <c r="E168" s="9">
        <v>8.0</v>
      </c>
      <c r="F168" s="10">
        <v>45058.0</v>
      </c>
      <c r="G168" s="10">
        <v>161714.0</v>
      </c>
      <c r="H168" s="9" t="str">
        <f t="shared" si="1"/>
        <v>NOT ACHIEVED</v>
      </c>
    </row>
    <row r="169" ht="15.75" customHeight="1">
      <c r="A169" s="9" t="s">
        <v>49</v>
      </c>
      <c r="B169" s="9" t="s">
        <v>12</v>
      </c>
      <c r="C169" s="9" t="s">
        <v>8</v>
      </c>
      <c r="D169" s="9" t="s">
        <v>16</v>
      </c>
      <c r="E169" s="9">
        <v>11.0</v>
      </c>
      <c r="F169" s="10">
        <v>100713.0</v>
      </c>
      <c r="G169" s="10">
        <v>38888.0</v>
      </c>
      <c r="H169" s="9" t="str">
        <f t="shared" si="1"/>
        <v>ACHIEVED</v>
      </c>
    </row>
    <row r="170" ht="15.75" customHeight="1">
      <c r="A170" s="9" t="s">
        <v>41</v>
      </c>
      <c r="B170" s="9" t="s">
        <v>7</v>
      </c>
      <c r="C170" s="9" t="s">
        <v>18</v>
      </c>
      <c r="D170" s="9" t="s">
        <v>17</v>
      </c>
      <c r="E170" s="9">
        <v>5.0</v>
      </c>
      <c r="F170" s="10">
        <v>255528.0</v>
      </c>
      <c r="G170" s="10">
        <v>238497.0</v>
      </c>
      <c r="H170" s="9" t="str">
        <f t="shared" si="1"/>
        <v>ACHIEVED</v>
      </c>
    </row>
    <row r="171" ht="15.75" customHeight="1">
      <c r="A171" s="9" t="s">
        <v>54</v>
      </c>
      <c r="B171" s="9" t="s">
        <v>7</v>
      </c>
      <c r="C171" s="9" t="s">
        <v>11</v>
      </c>
      <c r="D171" s="9" t="s">
        <v>9</v>
      </c>
      <c r="E171" s="9">
        <v>1.0</v>
      </c>
      <c r="F171" s="10">
        <v>55517.0</v>
      </c>
      <c r="G171" s="10">
        <v>57940.0</v>
      </c>
      <c r="H171" s="9" t="str">
        <f t="shared" si="1"/>
        <v>NOT ACHIEVED</v>
      </c>
    </row>
    <row r="172" ht="15.75" customHeight="1">
      <c r="A172" s="9" t="s">
        <v>31</v>
      </c>
      <c r="B172" s="9" t="s">
        <v>19</v>
      </c>
      <c r="C172" s="9" t="s">
        <v>22</v>
      </c>
      <c r="D172" s="9" t="s">
        <v>20</v>
      </c>
      <c r="E172" s="9">
        <v>10.0</v>
      </c>
      <c r="F172" s="10">
        <v>296042.0</v>
      </c>
      <c r="G172" s="10">
        <v>229834.0</v>
      </c>
      <c r="H172" s="9" t="str">
        <f t="shared" si="1"/>
        <v>ACHIEVED</v>
      </c>
    </row>
    <row r="173" ht="15.75" customHeight="1">
      <c r="A173" s="9" t="s">
        <v>33</v>
      </c>
      <c r="B173" s="9" t="s">
        <v>10</v>
      </c>
      <c r="C173" s="9" t="s">
        <v>18</v>
      </c>
      <c r="D173" s="9" t="s">
        <v>16</v>
      </c>
      <c r="E173" s="9">
        <v>8.0</v>
      </c>
      <c r="F173" s="10">
        <v>97449.0</v>
      </c>
      <c r="G173" s="10">
        <v>24709.0</v>
      </c>
      <c r="H173" s="9" t="str">
        <f t="shared" si="1"/>
        <v>ACHIEVED</v>
      </c>
    </row>
    <row r="174" ht="15.75" customHeight="1">
      <c r="A174" s="9" t="s">
        <v>43</v>
      </c>
      <c r="B174" s="9" t="s">
        <v>7</v>
      </c>
      <c r="C174" s="9" t="s">
        <v>18</v>
      </c>
      <c r="D174" s="9" t="s">
        <v>16</v>
      </c>
      <c r="E174" s="9">
        <v>13.0</v>
      </c>
      <c r="F174" s="10">
        <v>124516.0</v>
      </c>
      <c r="G174" s="10">
        <v>176329.0</v>
      </c>
      <c r="H174" s="9" t="str">
        <f t="shared" si="1"/>
        <v>NOT ACHIEVED</v>
      </c>
    </row>
    <row r="175" ht="15.75" customHeight="1">
      <c r="A175" s="9" t="s">
        <v>41</v>
      </c>
      <c r="B175" s="9" t="s">
        <v>21</v>
      </c>
      <c r="C175" s="9" t="s">
        <v>22</v>
      </c>
      <c r="D175" s="9" t="s">
        <v>17</v>
      </c>
      <c r="E175" s="9">
        <v>3.0</v>
      </c>
      <c r="F175" s="10">
        <v>83965.0</v>
      </c>
      <c r="G175" s="10">
        <v>216093.0</v>
      </c>
      <c r="H175" s="9" t="str">
        <f t="shared" si="1"/>
        <v>NOT ACHIEVED</v>
      </c>
    </row>
    <row r="176" ht="15.75" customHeight="1">
      <c r="A176" s="9" t="s">
        <v>29</v>
      </c>
      <c r="B176" s="9" t="s">
        <v>21</v>
      </c>
      <c r="C176" s="9" t="s">
        <v>13</v>
      </c>
      <c r="D176" s="9" t="s">
        <v>14</v>
      </c>
      <c r="E176" s="9">
        <v>13.0</v>
      </c>
      <c r="F176" s="10">
        <v>250756.0</v>
      </c>
      <c r="G176" s="10">
        <v>107223.0</v>
      </c>
      <c r="H176" s="9" t="str">
        <f t="shared" si="1"/>
        <v>ACHIEVED</v>
      </c>
    </row>
    <row r="177" ht="15.75" customHeight="1">
      <c r="A177" s="9" t="s">
        <v>29</v>
      </c>
      <c r="B177" s="9" t="s">
        <v>19</v>
      </c>
      <c r="C177" s="9" t="s">
        <v>18</v>
      </c>
      <c r="D177" s="9" t="s">
        <v>14</v>
      </c>
      <c r="E177" s="9">
        <v>7.0</v>
      </c>
      <c r="F177" s="10">
        <v>237376.0</v>
      </c>
      <c r="G177" s="10">
        <v>165772.0</v>
      </c>
      <c r="H177" s="9" t="str">
        <f t="shared" si="1"/>
        <v>ACHIEVED</v>
      </c>
    </row>
    <row r="178" ht="15.75" customHeight="1">
      <c r="A178" s="9" t="s">
        <v>47</v>
      </c>
      <c r="B178" s="9" t="s">
        <v>21</v>
      </c>
      <c r="C178" s="9" t="s">
        <v>8</v>
      </c>
      <c r="D178" s="9" t="s">
        <v>17</v>
      </c>
      <c r="E178" s="9">
        <v>12.0</v>
      </c>
      <c r="F178" s="10">
        <v>134460.0</v>
      </c>
      <c r="G178" s="10">
        <v>41457.0</v>
      </c>
      <c r="H178" s="9" t="str">
        <f t="shared" si="1"/>
        <v>ACHIEVED</v>
      </c>
    </row>
    <row r="179" ht="15.75" customHeight="1">
      <c r="A179" s="9" t="s">
        <v>45</v>
      </c>
      <c r="B179" s="9" t="s">
        <v>21</v>
      </c>
      <c r="C179" s="9" t="s">
        <v>11</v>
      </c>
      <c r="D179" s="9" t="s">
        <v>14</v>
      </c>
      <c r="E179" s="9">
        <v>6.0</v>
      </c>
      <c r="F179" s="10">
        <v>30503.0</v>
      </c>
      <c r="G179" s="10">
        <v>153813.0</v>
      </c>
      <c r="H179" s="9" t="str">
        <f t="shared" si="1"/>
        <v>NOT ACHIEVED</v>
      </c>
    </row>
    <row r="180" ht="15.75" customHeight="1">
      <c r="A180" s="9" t="s">
        <v>25</v>
      </c>
      <c r="B180" s="9" t="s">
        <v>21</v>
      </c>
      <c r="C180" s="9" t="s">
        <v>15</v>
      </c>
      <c r="D180" s="9" t="s">
        <v>17</v>
      </c>
      <c r="E180" s="9">
        <v>13.0</v>
      </c>
      <c r="F180" s="10">
        <v>82446.0</v>
      </c>
      <c r="G180" s="10">
        <v>236358.0</v>
      </c>
      <c r="H180" s="9" t="str">
        <f t="shared" si="1"/>
        <v>NOT ACHIEVED</v>
      </c>
    </row>
    <row r="181" ht="15.75" customHeight="1">
      <c r="A181" s="9" t="s">
        <v>28</v>
      </c>
      <c r="B181" s="9" t="s">
        <v>10</v>
      </c>
      <c r="C181" s="9" t="s">
        <v>15</v>
      </c>
      <c r="D181" s="9" t="s">
        <v>16</v>
      </c>
      <c r="E181" s="9">
        <v>10.0</v>
      </c>
      <c r="F181" s="10">
        <v>100509.0</v>
      </c>
      <c r="G181" s="10">
        <v>214843.0</v>
      </c>
      <c r="H181" s="9" t="str">
        <f t="shared" si="1"/>
        <v>NOT ACHIEVED</v>
      </c>
    </row>
    <row r="182" ht="15.75" customHeight="1">
      <c r="A182" s="9" t="s">
        <v>51</v>
      </c>
      <c r="B182" s="9" t="s">
        <v>12</v>
      </c>
      <c r="C182" s="9" t="s">
        <v>15</v>
      </c>
      <c r="D182" s="9" t="s">
        <v>20</v>
      </c>
      <c r="E182" s="9">
        <v>10.0</v>
      </c>
      <c r="F182" s="10">
        <v>35231.0</v>
      </c>
      <c r="G182" s="10">
        <v>200483.0</v>
      </c>
      <c r="H182" s="9" t="str">
        <f t="shared" si="1"/>
        <v>NOT ACHIEVED</v>
      </c>
    </row>
    <row r="183" ht="15.75" customHeight="1">
      <c r="A183" s="9" t="s">
        <v>48</v>
      </c>
      <c r="B183" s="9" t="s">
        <v>12</v>
      </c>
      <c r="C183" s="9" t="s">
        <v>13</v>
      </c>
      <c r="D183" s="9" t="s">
        <v>16</v>
      </c>
      <c r="E183" s="9">
        <v>5.0</v>
      </c>
      <c r="F183" s="10">
        <v>155498.0</v>
      </c>
      <c r="G183" s="10">
        <v>142964.0</v>
      </c>
      <c r="H183" s="9" t="str">
        <f t="shared" si="1"/>
        <v>ACHIEVED</v>
      </c>
    </row>
    <row r="184" ht="15.75" customHeight="1">
      <c r="A184" s="9" t="s">
        <v>55</v>
      </c>
      <c r="B184" s="9" t="s">
        <v>21</v>
      </c>
      <c r="C184" s="9" t="s">
        <v>13</v>
      </c>
      <c r="D184" s="9" t="s">
        <v>20</v>
      </c>
      <c r="E184" s="9">
        <v>9.0</v>
      </c>
      <c r="F184" s="10">
        <v>100181.0</v>
      </c>
      <c r="G184" s="10">
        <v>203945.0</v>
      </c>
      <c r="H184" s="9" t="str">
        <f t="shared" si="1"/>
        <v>NOT ACHIEVED</v>
      </c>
    </row>
    <row r="185" ht="15.75" customHeight="1">
      <c r="A185" s="9" t="s">
        <v>52</v>
      </c>
      <c r="B185" s="9" t="s">
        <v>12</v>
      </c>
      <c r="C185" s="9" t="s">
        <v>15</v>
      </c>
      <c r="D185" s="9" t="s">
        <v>9</v>
      </c>
      <c r="E185" s="9">
        <v>15.0</v>
      </c>
      <c r="F185" s="10">
        <v>133707.0</v>
      </c>
      <c r="G185" s="10">
        <v>94316.0</v>
      </c>
      <c r="H185" s="9" t="str">
        <f t="shared" si="1"/>
        <v>ACHIEVED</v>
      </c>
    </row>
    <row r="186" ht="15.75" customHeight="1">
      <c r="A186" s="9" t="s">
        <v>47</v>
      </c>
      <c r="B186" s="9" t="s">
        <v>12</v>
      </c>
      <c r="C186" s="9" t="s">
        <v>18</v>
      </c>
      <c r="D186" s="9" t="s">
        <v>14</v>
      </c>
      <c r="E186" s="9">
        <v>7.0</v>
      </c>
      <c r="F186" s="10">
        <v>93575.0</v>
      </c>
      <c r="G186" s="10">
        <v>85035.0</v>
      </c>
      <c r="H186" s="9" t="str">
        <f t="shared" si="1"/>
        <v>ACHIEVED</v>
      </c>
    </row>
    <row r="187" ht="15.75" customHeight="1">
      <c r="A187" s="9" t="s">
        <v>44</v>
      </c>
      <c r="B187" s="9" t="s">
        <v>7</v>
      </c>
      <c r="C187" s="9" t="s">
        <v>15</v>
      </c>
      <c r="D187" s="9" t="s">
        <v>20</v>
      </c>
      <c r="E187" s="9">
        <v>15.0</v>
      </c>
      <c r="F187" s="10">
        <v>68952.0</v>
      </c>
      <c r="G187" s="10">
        <v>141439.0</v>
      </c>
      <c r="H187" s="9" t="str">
        <f t="shared" si="1"/>
        <v>NOT ACHIEVED</v>
      </c>
    </row>
    <row r="188" ht="15.75" customHeight="1">
      <c r="A188" s="9" t="s">
        <v>39</v>
      </c>
      <c r="B188" s="9" t="s">
        <v>7</v>
      </c>
      <c r="C188" s="9" t="s">
        <v>11</v>
      </c>
      <c r="D188" s="9" t="s">
        <v>16</v>
      </c>
      <c r="E188" s="9">
        <v>12.0</v>
      </c>
      <c r="F188" s="10">
        <v>25802.0</v>
      </c>
      <c r="G188" s="10">
        <v>247089.0</v>
      </c>
      <c r="H188" s="9" t="str">
        <f t="shared" si="1"/>
        <v>NOT ACHIEVED</v>
      </c>
    </row>
    <row r="189" ht="15.75" customHeight="1">
      <c r="A189" s="9" t="s">
        <v>24</v>
      </c>
      <c r="B189" s="9" t="s">
        <v>21</v>
      </c>
      <c r="C189" s="9" t="s">
        <v>18</v>
      </c>
      <c r="D189" s="9" t="s">
        <v>14</v>
      </c>
      <c r="E189" s="9">
        <v>9.0</v>
      </c>
      <c r="F189" s="10">
        <v>143994.0</v>
      </c>
      <c r="G189" s="10">
        <v>227015.0</v>
      </c>
      <c r="H189" s="9" t="str">
        <f t="shared" si="1"/>
        <v>NOT ACHIEVED</v>
      </c>
    </row>
    <row r="190" ht="15.75" customHeight="1">
      <c r="A190" s="9" t="s">
        <v>50</v>
      </c>
      <c r="B190" s="9" t="s">
        <v>7</v>
      </c>
      <c r="C190" s="9" t="s">
        <v>15</v>
      </c>
      <c r="D190" s="9" t="s">
        <v>9</v>
      </c>
      <c r="E190" s="9">
        <v>9.0</v>
      </c>
      <c r="F190" s="10">
        <v>146715.0</v>
      </c>
      <c r="G190" s="10">
        <v>131846.0</v>
      </c>
      <c r="H190" s="9" t="str">
        <f t="shared" si="1"/>
        <v>ACHIEVED</v>
      </c>
    </row>
    <row r="191" ht="15.75" customHeight="1">
      <c r="A191" s="9" t="s">
        <v>28</v>
      </c>
      <c r="B191" s="9" t="s">
        <v>19</v>
      </c>
      <c r="C191" s="9" t="s">
        <v>22</v>
      </c>
      <c r="D191" s="9" t="s">
        <v>9</v>
      </c>
      <c r="E191" s="9">
        <v>2.0</v>
      </c>
      <c r="F191" s="10">
        <v>77828.0</v>
      </c>
      <c r="G191" s="10">
        <v>145154.0</v>
      </c>
      <c r="H191" s="9" t="str">
        <f t="shared" si="1"/>
        <v>NOT ACHIEVED</v>
      </c>
    </row>
    <row r="192" ht="15.75" customHeight="1">
      <c r="A192" s="9" t="s">
        <v>46</v>
      </c>
      <c r="B192" s="9" t="s">
        <v>12</v>
      </c>
      <c r="C192" s="9" t="s">
        <v>15</v>
      </c>
      <c r="D192" s="9" t="s">
        <v>9</v>
      </c>
      <c r="E192" s="9">
        <v>8.0</v>
      </c>
      <c r="F192" s="10">
        <v>275201.0</v>
      </c>
      <c r="G192" s="10">
        <v>196752.0</v>
      </c>
      <c r="H192" s="9" t="str">
        <f t="shared" si="1"/>
        <v>ACHIEVED</v>
      </c>
    </row>
    <row r="193" ht="15.75" customHeight="1">
      <c r="A193" s="9" t="s">
        <v>44</v>
      </c>
      <c r="B193" s="9" t="s">
        <v>10</v>
      </c>
      <c r="C193" s="9" t="s">
        <v>22</v>
      </c>
      <c r="D193" s="9" t="s">
        <v>14</v>
      </c>
      <c r="E193" s="9">
        <v>15.0</v>
      </c>
      <c r="F193" s="10">
        <v>96626.0</v>
      </c>
      <c r="G193" s="10">
        <v>214407.0</v>
      </c>
      <c r="H193" s="9" t="str">
        <f t="shared" si="1"/>
        <v>NOT ACHIEVED</v>
      </c>
    </row>
    <row r="194" ht="15.75" customHeight="1">
      <c r="A194" s="9" t="s">
        <v>56</v>
      </c>
      <c r="B194" s="9" t="s">
        <v>10</v>
      </c>
      <c r="C194" s="9" t="s">
        <v>13</v>
      </c>
      <c r="D194" s="9" t="s">
        <v>17</v>
      </c>
      <c r="E194" s="9">
        <v>15.0</v>
      </c>
      <c r="F194" s="10">
        <v>126398.0</v>
      </c>
      <c r="G194" s="10">
        <v>39469.0</v>
      </c>
      <c r="H194" s="9" t="str">
        <f t="shared" si="1"/>
        <v>ACHIEVED</v>
      </c>
    </row>
    <row r="195" ht="15.75" customHeight="1">
      <c r="A195" s="9" t="s">
        <v>42</v>
      </c>
      <c r="B195" s="9" t="s">
        <v>12</v>
      </c>
      <c r="C195" s="9" t="s">
        <v>15</v>
      </c>
      <c r="D195" s="9" t="s">
        <v>14</v>
      </c>
      <c r="E195" s="9">
        <v>4.0</v>
      </c>
      <c r="F195" s="10">
        <v>242857.0</v>
      </c>
      <c r="G195" s="10">
        <v>69041.0</v>
      </c>
      <c r="H195" s="9" t="str">
        <f t="shared" si="1"/>
        <v>ACHIEVED</v>
      </c>
    </row>
    <row r="196" ht="15.75" customHeight="1">
      <c r="A196" s="9" t="s">
        <v>33</v>
      </c>
      <c r="B196" s="9" t="s">
        <v>21</v>
      </c>
      <c r="C196" s="9" t="s">
        <v>22</v>
      </c>
      <c r="D196" s="9" t="s">
        <v>17</v>
      </c>
      <c r="E196" s="9">
        <v>3.0</v>
      </c>
      <c r="F196" s="10">
        <v>177276.0</v>
      </c>
      <c r="G196" s="10">
        <v>94976.0</v>
      </c>
      <c r="H196" s="9" t="str">
        <f t="shared" si="1"/>
        <v>ACHIEVED</v>
      </c>
    </row>
    <row r="197" ht="15.75" customHeight="1">
      <c r="A197" s="9" t="s">
        <v>27</v>
      </c>
      <c r="B197" s="9" t="s">
        <v>10</v>
      </c>
      <c r="C197" s="9" t="s">
        <v>13</v>
      </c>
      <c r="D197" s="9" t="s">
        <v>17</v>
      </c>
      <c r="E197" s="9">
        <v>2.0</v>
      </c>
      <c r="F197" s="10">
        <v>100244.0</v>
      </c>
      <c r="G197" s="10">
        <v>194144.0</v>
      </c>
      <c r="H197" s="9" t="str">
        <f t="shared" si="1"/>
        <v>NOT ACHIEVED</v>
      </c>
    </row>
    <row r="198" ht="15.75" customHeight="1">
      <c r="A198" s="9" t="s">
        <v>38</v>
      </c>
      <c r="B198" s="9" t="s">
        <v>10</v>
      </c>
      <c r="C198" s="9" t="s">
        <v>11</v>
      </c>
      <c r="D198" s="9" t="s">
        <v>9</v>
      </c>
      <c r="E198" s="9">
        <v>7.0</v>
      </c>
      <c r="F198" s="10">
        <v>140408.0</v>
      </c>
      <c r="G198" s="10">
        <v>127906.0</v>
      </c>
      <c r="H198" s="9" t="str">
        <f t="shared" si="1"/>
        <v>ACHIEVED</v>
      </c>
    </row>
    <row r="199" ht="15.75" customHeight="1">
      <c r="A199" s="9" t="s">
        <v>41</v>
      </c>
      <c r="B199" s="9" t="s">
        <v>12</v>
      </c>
      <c r="C199" s="9" t="s">
        <v>15</v>
      </c>
      <c r="D199" s="9" t="s">
        <v>14</v>
      </c>
      <c r="E199" s="9">
        <v>15.0</v>
      </c>
      <c r="F199" s="10">
        <v>248103.0</v>
      </c>
      <c r="G199" s="10">
        <v>234874.0</v>
      </c>
      <c r="H199" s="9" t="str">
        <f t="shared" si="1"/>
        <v>ACHIEVED</v>
      </c>
    </row>
    <row r="200" ht="15.75" customHeight="1">
      <c r="A200" s="9" t="s">
        <v>28</v>
      </c>
      <c r="B200" s="9" t="s">
        <v>12</v>
      </c>
      <c r="C200" s="9" t="s">
        <v>15</v>
      </c>
      <c r="D200" s="9" t="s">
        <v>20</v>
      </c>
      <c r="E200" s="9">
        <v>1.0</v>
      </c>
      <c r="F200" s="10">
        <v>214110.0</v>
      </c>
      <c r="G200" s="10">
        <v>32405.0</v>
      </c>
      <c r="H200" s="9" t="str">
        <f t="shared" si="1"/>
        <v>ACHIEVED</v>
      </c>
    </row>
    <row r="201" ht="15.75" customHeight="1">
      <c r="A201" s="9" t="s">
        <v>46</v>
      </c>
      <c r="B201" s="9" t="s">
        <v>19</v>
      </c>
      <c r="C201" s="9" t="s">
        <v>11</v>
      </c>
      <c r="D201" s="9" t="s">
        <v>17</v>
      </c>
      <c r="E201" s="9">
        <v>15.0</v>
      </c>
      <c r="F201" s="10">
        <v>285843.0</v>
      </c>
      <c r="G201" s="10">
        <v>230837.0</v>
      </c>
      <c r="H201" s="9" t="str">
        <f t="shared" si="1"/>
        <v>ACHIEVED</v>
      </c>
    </row>
    <row r="202" ht="15.75" customHeight="1">
      <c r="F202" s="24"/>
      <c r="G202" s="24"/>
    </row>
    <row r="203" ht="15.75" customHeight="1">
      <c r="F203" s="24"/>
      <c r="G203" s="24"/>
    </row>
    <row r="204" ht="15.75" customHeight="1">
      <c r="F204" s="24"/>
      <c r="G204" s="24"/>
    </row>
    <row r="205" ht="15.75" customHeight="1">
      <c r="F205" s="24"/>
      <c r="G205" s="24"/>
    </row>
    <row r="206" ht="15.75" customHeight="1">
      <c r="F206" s="24"/>
      <c r="G206" s="24"/>
    </row>
    <row r="207" ht="15.75" customHeight="1">
      <c r="F207" s="24"/>
      <c r="G207" s="24"/>
    </row>
    <row r="208" ht="15.75" customHeight="1">
      <c r="F208" s="24"/>
      <c r="G208" s="24"/>
    </row>
    <row r="209" ht="15.75" customHeight="1">
      <c r="F209" s="24"/>
      <c r="G209" s="24"/>
    </row>
    <row r="210" ht="15.75" customHeight="1">
      <c r="F210" s="24"/>
      <c r="G210" s="24"/>
    </row>
    <row r="211" ht="15.75" customHeight="1">
      <c r="F211" s="24"/>
      <c r="G211" s="24"/>
    </row>
    <row r="212" ht="15.75" customHeight="1">
      <c r="F212" s="24"/>
      <c r="G212" s="24"/>
    </row>
    <row r="213" ht="15.75" customHeight="1">
      <c r="F213" s="24"/>
      <c r="G213" s="24"/>
    </row>
    <row r="214" ht="15.75" customHeight="1">
      <c r="F214" s="24"/>
      <c r="G214" s="24"/>
    </row>
    <row r="215" ht="15.75" customHeight="1">
      <c r="F215" s="24"/>
      <c r="G215" s="24"/>
    </row>
    <row r="216" ht="15.75" customHeight="1">
      <c r="F216" s="24"/>
      <c r="G216" s="24"/>
    </row>
    <row r="217" ht="15.75" customHeight="1">
      <c r="F217" s="24"/>
      <c r="G217" s="24"/>
    </row>
    <row r="218" ht="15.75" customHeight="1">
      <c r="F218" s="24"/>
      <c r="G218" s="24"/>
    </row>
    <row r="219" ht="15.75" customHeight="1">
      <c r="F219" s="24"/>
      <c r="G219" s="24"/>
    </row>
    <row r="220" ht="15.75" customHeight="1">
      <c r="F220" s="24"/>
      <c r="G220" s="24"/>
    </row>
    <row r="221" ht="15.75" customHeight="1">
      <c r="F221" s="24"/>
      <c r="G221" s="24"/>
    </row>
    <row r="222" ht="15.75" customHeight="1">
      <c r="F222" s="24"/>
      <c r="G222" s="24"/>
    </row>
    <row r="223" ht="15.75" customHeight="1">
      <c r="F223" s="24"/>
      <c r="G223" s="24"/>
    </row>
    <row r="224" ht="15.75" customHeight="1">
      <c r="F224" s="24"/>
      <c r="G224" s="24"/>
    </row>
    <row r="225" ht="15.75" customHeight="1">
      <c r="F225" s="24"/>
      <c r="G225" s="24"/>
    </row>
    <row r="226" ht="15.75" customHeight="1">
      <c r="F226" s="24"/>
      <c r="G226" s="24"/>
    </row>
    <row r="227" ht="15.75" customHeight="1">
      <c r="F227" s="24"/>
      <c r="G227" s="24"/>
    </row>
    <row r="228" ht="15.75" customHeight="1">
      <c r="F228" s="24"/>
      <c r="G228" s="24"/>
    </row>
    <row r="229" ht="15.75" customHeight="1">
      <c r="F229" s="24"/>
      <c r="G229" s="24"/>
    </row>
    <row r="230" ht="15.75" customHeight="1">
      <c r="F230" s="24"/>
      <c r="G230" s="24"/>
    </row>
    <row r="231" ht="15.75" customHeight="1">
      <c r="F231" s="24"/>
      <c r="G231" s="24"/>
    </row>
    <row r="232" ht="15.75" customHeight="1">
      <c r="F232" s="24"/>
      <c r="G232" s="24"/>
    </row>
    <row r="233" ht="15.75" customHeight="1">
      <c r="F233" s="24"/>
      <c r="G233" s="24"/>
    </row>
    <row r="234" ht="15.75" customHeight="1">
      <c r="F234" s="24"/>
      <c r="G234" s="24"/>
    </row>
    <row r="235" ht="15.75" customHeight="1">
      <c r="F235" s="24"/>
      <c r="G235" s="24"/>
    </row>
    <row r="236" ht="15.75" customHeight="1">
      <c r="F236" s="24"/>
      <c r="G236" s="24"/>
    </row>
    <row r="237" ht="15.75" customHeight="1">
      <c r="F237" s="24"/>
      <c r="G237" s="24"/>
    </row>
    <row r="238" ht="15.75" customHeight="1">
      <c r="F238" s="24"/>
      <c r="G238" s="24"/>
    </row>
    <row r="239" ht="15.75" customHeight="1">
      <c r="F239" s="24"/>
      <c r="G239" s="24"/>
    </row>
    <row r="240" ht="15.75" customHeight="1">
      <c r="F240" s="24"/>
      <c r="G240" s="24"/>
    </row>
    <row r="241" ht="15.75" customHeight="1">
      <c r="F241" s="24"/>
      <c r="G241" s="24"/>
    </row>
    <row r="242" ht="15.75" customHeight="1">
      <c r="F242" s="24"/>
      <c r="G242" s="24"/>
    </row>
    <row r="243" ht="15.75" customHeight="1">
      <c r="F243" s="24"/>
      <c r="G243" s="24"/>
    </row>
    <row r="244" ht="15.75" customHeight="1">
      <c r="F244" s="24"/>
      <c r="G244" s="24"/>
    </row>
    <row r="245" ht="15.75" customHeight="1">
      <c r="F245" s="24"/>
      <c r="G245" s="24"/>
    </row>
    <row r="246" ht="15.75" customHeight="1">
      <c r="F246" s="24"/>
      <c r="G246" s="24"/>
    </row>
    <row r="247" ht="15.75" customHeight="1">
      <c r="F247" s="24"/>
      <c r="G247" s="24"/>
    </row>
    <row r="248" ht="15.75" customHeight="1">
      <c r="F248" s="24"/>
      <c r="G248" s="24"/>
    </row>
    <row r="249" ht="15.75" customHeight="1">
      <c r="F249" s="24"/>
      <c r="G249" s="24"/>
    </row>
    <row r="250" ht="15.75" customHeight="1">
      <c r="F250" s="24"/>
      <c r="G250" s="24"/>
    </row>
    <row r="251" ht="15.75" customHeight="1">
      <c r="F251" s="24"/>
      <c r="G251" s="24"/>
    </row>
    <row r="252" ht="15.75" customHeight="1">
      <c r="F252" s="24"/>
      <c r="G252" s="24"/>
    </row>
    <row r="253" ht="15.75" customHeight="1">
      <c r="F253" s="24"/>
      <c r="G253" s="24"/>
    </row>
    <row r="254" ht="15.75" customHeight="1">
      <c r="F254" s="24"/>
      <c r="G254" s="24"/>
    </row>
    <row r="255" ht="15.75" customHeight="1">
      <c r="F255" s="24"/>
      <c r="G255" s="24"/>
    </row>
    <row r="256" ht="15.75" customHeight="1">
      <c r="F256" s="24"/>
      <c r="G256" s="24"/>
    </row>
    <row r="257" ht="15.75" customHeight="1">
      <c r="F257" s="24"/>
      <c r="G257" s="24"/>
    </row>
    <row r="258" ht="15.75" customHeight="1">
      <c r="F258" s="24"/>
      <c r="G258" s="24"/>
    </row>
    <row r="259" ht="15.75" customHeight="1">
      <c r="F259" s="24"/>
      <c r="G259" s="24"/>
    </row>
    <row r="260" ht="15.75" customHeight="1">
      <c r="F260" s="24"/>
      <c r="G260" s="24"/>
    </row>
    <row r="261" ht="15.75" customHeight="1">
      <c r="F261" s="24"/>
      <c r="G261" s="24"/>
    </row>
    <row r="262" ht="15.75" customHeight="1">
      <c r="F262" s="24"/>
      <c r="G262" s="24"/>
    </row>
    <row r="263" ht="15.75" customHeight="1">
      <c r="F263" s="24"/>
      <c r="G263" s="24"/>
    </row>
    <row r="264" ht="15.75" customHeight="1">
      <c r="F264" s="24"/>
      <c r="G264" s="24"/>
    </row>
    <row r="265" ht="15.75" customHeight="1">
      <c r="F265" s="24"/>
      <c r="G265" s="24"/>
    </row>
    <row r="266" ht="15.75" customHeight="1">
      <c r="F266" s="24"/>
      <c r="G266" s="24"/>
    </row>
    <row r="267" ht="15.75" customHeight="1">
      <c r="F267" s="24"/>
      <c r="G267" s="24"/>
    </row>
    <row r="268" ht="15.75" customHeight="1">
      <c r="F268" s="24"/>
      <c r="G268" s="24"/>
    </row>
    <row r="269" ht="15.75" customHeight="1">
      <c r="F269" s="24"/>
      <c r="G269" s="24"/>
    </row>
    <row r="270" ht="15.75" customHeight="1">
      <c r="F270" s="24"/>
      <c r="G270" s="24"/>
    </row>
    <row r="271" ht="15.75" customHeight="1">
      <c r="F271" s="24"/>
      <c r="G271" s="24"/>
    </row>
    <row r="272" ht="15.75" customHeight="1">
      <c r="F272" s="24"/>
      <c r="G272" s="24"/>
    </row>
    <row r="273" ht="15.75" customHeight="1">
      <c r="F273" s="24"/>
      <c r="G273" s="24"/>
    </row>
    <row r="274" ht="15.75" customHeight="1">
      <c r="F274" s="24"/>
      <c r="G274" s="24"/>
    </row>
    <row r="275" ht="15.75" customHeight="1">
      <c r="F275" s="24"/>
      <c r="G275" s="24"/>
    </row>
    <row r="276" ht="15.75" customHeight="1">
      <c r="F276" s="24"/>
      <c r="G276" s="24"/>
    </row>
    <row r="277" ht="15.75" customHeight="1">
      <c r="F277" s="24"/>
      <c r="G277" s="24"/>
    </row>
    <row r="278" ht="15.75" customHeight="1">
      <c r="F278" s="24"/>
      <c r="G278" s="24"/>
    </row>
    <row r="279" ht="15.75" customHeight="1">
      <c r="F279" s="24"/>
      <c r="G279" s="24"/>
    </row>
    <row r="280" ht="15.75" customHeight="1">
      <c r="F280" s="24"/>
      <c r="G280" s="24"/>
    </row>
    <row r="281" ht="15.75" customHeight="1">
      <c r="F281" s="24"/>
      <c r="G281" s="24"/>
    </row>
    <row r="282" ht="15.75" customHeight="1">
      <c r="F282" s="24"/>
      <c r="G282" s="24"/>
    </row>
    <row r="283" ht="15.75" customHeight="1">
      <c r="F283" s="24"/>
      <c r="G283" s="24"/>
    </row>
    <row r="284" ht="15.75" customHeight="1">
      <c r="F284" s="24"/>
      <c r="G284" s="24"/>
    </row>
    <row r="285" ht="15.75" customHeight="1">
      <c r="F285" s="24"/>
      <c r="G285" s="24"/>
    </row>
    <row r="286" ht="15.75" customHeight="1">
      <c r="F286" s="24"/>
      <c r="G286" s="24"/>
    </row>
    <row r="287" ht="15.75" customHeight="1">
      <c r="F287" s="24"/>
      <c r="G287" s="24"/>
    </row>
    <row r="288" ht="15.75" customHeight="1">
      <c r="F288" s="24"/>
      <c r="G288" s="24"/>
    </row>
    <row r="289" ht="15.75" customHeight="1">
      <c r="F289" s="24"/>
      <c r="G289" s="24"/>
    </row>
    <row r="290" ht="15.75" customHeight="1">
      <c r="F290" s="24"/>
      <c r="G290" s="24"/>
    </row>
    <row r="291" ht="15.75" customHeight="1">
      <c r="F291" s="24"/>
      <c r="G291" s="24"/>
    </row>
    <row r="292" ht="15.75" customHeight="1">
      <c r="F292" s="24"/>
      <c r="G292" s="24"/>
    </row>
    <row r="293" ht="15.75" customHeight="1">
      <c r="F293" s="24"/>
      <c r="G293" s="24"/>
    </row>
    <row r="294" ht="15.75" customHeight="1">
      <c r="F294" s="24"/>
      <c r="G294" s="24"/>
    </row>
    <row r="295" ht="15.75" customHeight="1">
      <c r="F295" s="24"/>
      <c r="G295" s="24"/>
    </row>
    <row r="296" ht="15.75" customHeight="1">
      <c r="F296" s="24"/>
      <c r="G296" s="24"/>
    </row>
    <row r="297" ht="15.75" customHeight="1">
      <c r="F297" s="24"/>
      <c r="G297" s="24"/>
    </row>
    <row r="298" ht="15.75" customHeight="1">
      <c r="F298" s="24"/>
      <c r="G298" s="24"/>
    </row>
    <row r="299" ht="15.75" customHeight="1">
      <c r="F299" s="24"/>
      <c r="G299" s="24"/>
    </row>
    <row r="300" ht="15.75" customHeight="1">
      <c r="F300" s="24"/>
      <c r="G300" s="24"/>
    </row>
    <row r="301" ht="15.75" customHeight="1">
      <c r="F301" s="24"/>
      <c r="G301" s="24"/>
    </row>
    <row r="302" ht="15.75" customHeight="1">
      <c r="F302" s="24"/>
      <c r="G302" s="24"/>
    </row>
    <row r="303" ht="15.75" customHeight="1">
      <c r="F303" s="24"/>
      <c r="G303" s="24"/>
    </row>
    <row r="304" ht="15.75" customHeight="1">
      <c r="F304" s="24"/>
      <c r="G304" s="24"/>
    </row>
    <row r="305" ht="15.75" customHeight="1">
      <c r="F305" s="24"/>
      <c r="G305" s="24"/>
    </row>
    <row r="306" ht="15.75" customHeight="1">
      <c r="F306" s="24"/>
      <c r="G306" s="24"/>
    </row>
    <row r="307" ht="15.75" customHeight="1">
      <c r="F307" s="24"/>
      <c r="G307" s="24"/>
    </row>
    <row r="308" ht="15.75" customHeight="1">
      <c r="F308" s="24"/>
      <c r="G308" s="24"/>
    </row>
    <row r="309" ht="15.75" customHeight="1">
      <c r="F309" s="24"/>
      <c r="G309" s="24"/>
    </row>
    <row r="310" ht="15.75" customHeight="1">
      <c r="F310" s="24"/>
      <c r="G310" s="24"/>
    </row>
    <row r="311" ht="15.75" customHeight="1">
      <c r="F311" s="24"/>
      <c r="G311" s="24"/>
    </row>
    <row r="312" ht="15.75" customHeight="1">
      <c r="F312" s="24"/>
      <c r="G312" s="24"/>
    </row>
    <row r="313" ht="15.75" customHeight="1">
      <c r="F313" s="24"/>
      <c r="G313" s="24"/>
    </row>
    <row r="314" ht="15.75" customHeight="1">
      <c r="F314" s="24"/>
      <c r="G314" s="24"/>
    </row>
    <row r="315" ht="15.75" customHeight="1">
      <c r="F315" s="24"/>
      <c r="G315" s="24"/>
    </row>
    <row r="316" ht="15.75" customHeight="1">
      <c r="F316" s="24"/>
      <c r="G316" s="24"/>
    </row>
    <row r="317" ht="15.75" customHeight="1">
      <c r="F317" s="24"/>
      <c r="G317" s="24"/>
    </row>
    <row r="318" ht="15.75" customHeight="1">
      <c r="F318" s="24"/>
      <c r="G318" s="24"/>
    </row>
    <row r="319" ht="15.75" customHeight="1">
      <c r="F319" s="24"/>
      <c r="G319" s="24"/>
    </row>
    <row r="320" ht="15.75" customHeight="1">
      <c r="F320" s="24"/>
      <c r="G320" s="24"/>
    </row>
    <row r="321" ht="15.75" customHeight="1">
      <c r="F321" s="24"/>
      <c r="G321" s="24"/>
    </row>
    <row r="322" ht="15.75" customHeight="1">
      <c r="F322" s="24"/>
      <c r="G322" s="24"/>
    </row>
    <row r="323" ht="15.75" customHeight="1">
      <c r="F323" s="24"/>
      <c r="G323" s="24"/>
    </row>
    <row r="324" ht="15.75" customHeight="1">
      <c r="F324" s="24"/>
      <c r="G324" s="24"/>
    </row>
    <row r="325" ht="15.75" customHeight="1">
      <c r="F325" s="24"/>
      <c r="G325" s="24"/>
    </row>
    <row r="326" ht="15.75" customHeight="1">
      <c r="F326" s="24"/>
      <c r="G326" s="24"/>
    </row>
    <row r="327" ht="15.75" customHeight="1">
      <c r="F327" s="24"/>
      <c r="G327" s="24"/>
    </row>
    <row r="328" ht="15.75" customHeight="1">
      <c r="F328" s="24"/>
      <c r="G328" s="24"/>
    </row>
    <row r="329" ht="15.75" customHeight="1">
      <c r="F329" s="24"/>
      <c r="G329" s="24"/>
    </row>
    <row r="330" ht="15.75" customHeight="1">
      <c r="F330" s="24"/>
      <c r="G330" s="24"/>
    </row>
    <row r="331" ht="15.75" customHeight="1">
      <c r="F331" s="24"/>
      <c r="G331" s="24"/>
    </row>
    <row r="332" ht="15.75" customHeight="1">
      <c r="F332" s="24"/>
      <c r="G332" s="24"/>
    </row>
    <row r="333" ht="15.75" customHeight="1">
      <c r="F333" s="24"/>
      <c r="G333" s="24"/>
    </row>
    <row r="334" ht="15.75" customHeight="1">
      <c r="F334" s="24"/>
      <c r="G334" s="24"/>
    </row>
    <row r="335" ht="15.75" customHeight="1">
      <c r="F335" s="24"/>
      <c r="G335" s="24"/>
    </row>
    <row r="336" ht="15.75" customHeight="1">
      <c r="F336" s="24"/>
      <c r="G336" s="24"/>
    </row>
    <row r="337" ht="15.75" customHeight="1">
      <c r="F337" s="24"/>
      <c r="G337" s="24"/>
    </row>
    <row r="338" ht="15.75" customHeight="1">
      <c r="F338" s="24"/>
      <c r="G338" s="24"/>
    </row>
    <row r="339" ht="15.75" customHeight="1">
      <c r="F339" s="24"/>
      <c r="G339" s="24"/>
    </row>
    <row r="340" ht="15.75" customHeight="1">
      <c r="F340" s="24"/>
      <c r="G340" s="24"/>
    </row>
    <row r="341" ht="15.75" customHeight="1">
      <c r="F341" s="24"/>
      <c r="G341" s="24"/>
    </row>
    <row r="342" ht="15.75" customHeight="1">
      <c r="F342" s="24"/>
      <c r="G342" s="24"/>
    </row>
    <row r="343" ht="15.75" customHeight="1">
      <c r="F343" s="24"/>
      <c r="G343" s="24"/>
    </row>
    <row r="344" ht="15.75" customHeight="1">
      <c r="F344" s="24"/>
      <c r="G344" s="24"/>
    </row>
    <row r="345" ht="15.75" customHeight="1">
      <c r="F345" s="24"/>
      <c r="G345" s="24"/>
    </row>
    <row r="346" ht="15.75" customHeight="1">
      <c r="F346" s="24"/>
      <c r="G346" s="24"/>
    </row>
    <row r="347" ht="15.75" customHeight="1">
      <c r="F347" s="24"/>
      <c r="G347" s="24"/>
    </row>
    <row r="348" ht="15.75" customHeight="1">
      <c r="F348" s="24"/>
      <c r="G348" s="24"/>
    </row>
    <row r="349" ht="15.75" customHeight="1">
      <c r="F349" s="24"/>
      <c r="G349" s="24"/>
    </row>
    <row r="350" ht="15.75" customHeight="1">
      <c r="F350" s="24"/>
      <c r="G350" s="24"/>
    </row>
    <row r="351" ht="15.75" customHeight="1">
      <c r="F351" s="24"/>
      <c r="G351" s="24"/>
    </row>
    <row r="352" ht="15.75" customHeight="1">
      <c r="F352" s="24"/>
      <c r="G352" s="24"/>
    </row>
    <row r="353" ht="15.75" customHeight="1">
      <c r="F353" s="24"/>
      <c r="G353" s="24"/>
    </row>
    <row r="354" ht="15.75" customHeight="1">
      <c r="F354" s="24"/>
      <c r="G354" s="24"/>
    </row>
    <row r="355" ht="15.75" customHeight="1">
      <c r="F355" s="24"/>
      <c r="G355" s="24"/>
    </row>
    <row r="356" ht="15.75" customHeight="1">
      <c r="F356" s="24"/>
      <c r="G356" s="24"/>
    </row>
    <row r="357" ht="15.75" customHeight="1">
      <c r="F357" s="24"/>
      <c r="G357" s="24"/>
    </row>
    <row r="358" ht="15.75" customHeight="1">
      <c r="F358" s="24"/>
      <c r="G358" s="24"/>
    </row>
    <row r="359" ht="15.75" customHeight="1">
      <c r="F359" s="24"/>
      <c r="G359" s="24"/>
    </row>
    <row r="360" ht="15.75" customHeight="1">
      <c r="F360" s="24"/>
      <c r="G360" s="24"/>
    </row>
    <row r="361" ht="15.75" customHeight="1">
      <c r="F361" s="24"/>
      <c r="G361" s="24"/>
    </row>
    <row r="362" ht="15.75" customHeight="1">
      <c r="F362" s="24"/>
      <c r="G362" s="24"/>
    </row>
    <row r="363" ht="15.75" customHeight="1">
      <c r="F363" s="24"/>
      <c r="G363" s="24"/>
    </row>
    <row r="364" ht="15.75" customHeight="1">
      <c r="F364" s="24"/>
      <c r="G364" s="24"/>
    </row>
    <row r="365" ht="15.75" customHeight="1">
      <c r="F365" s="24"/>
      <c r="G365" s="24"/>
    </row>
    <row r="366" ht="15.75" customHeight="1">
      <c r="F366" s="24"/>
      <c r="G366" s="24"/>
    </row>
    <row r="367" ht="15.75" customHeight="1">
      <c r="F367" s="24"/>
      <c r="G367" s="24"/>
    </row>
    <row r="368" ht="15.75" customHeight="1">
      <c r="F368" s="24"/>
      <c r="G368" s="24"/>
    </row>
    <row r="369" ht="15.75" customHeight="1">
      <c r="F369" s="24"/>
      <c r="G369" s="24"/>
    </row>
    <row r="370" ht="15.75" customHeight="1">
      <c r="F370" s="24"/>
      <c r="G370" s="24"/>
    </row>
    <row r="371" ht="15.75" customHeight="1">
      <c r="F371" s="24"/>
      <c r="G371" s="24"/>
    </row>
    <row r="372" ht="15.75" customHeight="1">
      <c r="F372" s="24"/>
      <c r="G372" s="24"/>
    </row>
    <row r="373" ht="15.75" customHeight="1">
      <c r="F373" s="24"/>
      <c r="G373" s="24"/>
    </row>
    <row r="374" ht="15.75" customHeight="1">
      <c r="F374" s="24"/>
      <c r="G374" s="24"/>
    </row>
    <row r="375" ht="15.75" customHeight="1">
      <c r="F375" s="24"/>
      <c r="G375" s="24"/>
    </row>
    <row r="376" ht="15.75" customHeight="1">
      <c r="F376" s="24"/>
      <c r="G376" s="24"/>
    </row>
    <row r="377" ht="15.75" customHeight="1">
      <c r="F377" s="24"/>
      <c r="G377" s="24"/>
    </row>
    <row r="378" ht="15.75" customHeight="1">
      <c r="F378" s="24"/>
      <c r="G378" s="24"/>
    </row>
    <row r="379" ht="15.75" customHeight="1">
      <c r="F379" s="24"/>
      <c r="G379" s="24"/>
    </row>
    <row r="380" ht="15.75" customHeight="1">
      <c r="F380" s="24"/>
      <c r="G380" s="24"/>
    </row>
    <row r="381" ht="15.75" customHeight="1">
      <c r="F381" s="24"/>
      <c r="G381" s="24"/>
    </row>
    <row r="382" ht="15.75" customHeight="1">
      <c r="F382" s="24"/>
      <c r="G382" s="24"/>
    </row>
    <row r="383" ht="15.75" customHeight="1">
      <c r="F383" s="24"/>
      <c r="G383" s="24"/>
    </row>
    <row r="384" ht="15.75" customHeight="1">
      <c r="F384" s="24"/>
      <c r="G384" s="24"/>
    </row>
    <row r="385" ht="15.75" customHeight="1">
      <c r="F385" s="24"/>
      <c r="G385" s="24"/>
    </row>
    <row r="386" ht="15.75" customHeight="1">
      <c r="F386" s="24"/>
      <c r="G386" s="24"/>
    </row>
    <row r="387" ht="15.75" customHeight="1">
      <c r="F387" s="24"/>
      <c r="G387" s="24"/>
    </row>
    <row r="388" ht="15.75" customHeight="1">
      <c r="F388" s="24"/>
      <c r="G388" s="24"/>
    </row>
    <row r="389" ht="15.75" customHeight="1">
      <c r="F389" s="24"/>
      <c r="G389" s="24"/>
    </row>
    <row r="390" ht="15.75" customHeight="1">
      <c r="F390" s="24"/>
      <c r="G390" s="24"/>
    </row>
    <row r="391" ht="15.75" customHeight="1">
      <c r="F391" s="24"/>
      <c r="G391" s="24"/>
    </row>
    <row r="392" ht="15.75" customHeight="1">
      <c r="F392" s="24"/>
      <c r="G392" s="24"/>
    </row>
    <row r="393" ht="15.75" customHeight="1">
      <c r="F393" s="24"/>
      <c r="G393" s="24"/>
    </row>
    <row r="394" ht="15.75" customHeight="1">
      <c r="F394" s="24"/>
      <c r="G394" s="24"/>
    </row>
    <row r="395" ht="15.75" customHeight="1">
      <c r="F395" s="24"/>
      <c r="G395" s="24"/>
    </row>
    <row r="396" ht="15.75" customHeight="1">
      <c r="F396" s="24"/>
      <c r="G396" s="24"/>
    </row>
    <row r="397" ht="15.75" customHeight="1">
      <c r="F397" s="24"/>
      <c r="G397" s="24"/>
    </row>
    <row r="398" ht="15.75" customHeight="1">
      <c r="F398" s="24"/>
      <c r="G398" s="24"/>
    </row>
    <row r="399" ht="15.75" customHeight="1">
      <c r="F399" s="24"/>
      <c r="G399" s="24"/>
    </row>
    <row r="400" ht="15.75" customHeight="1">
      <c r="F400" s="24"/>
      <c r="G400" s="24"/>
    </row>
    <row r="401" ht="15.75" customHeight="1">
      <c r="F401" s="24"/>
      <c r="G401" s="24"/>
    </row>
    <row r="402" ht="15.75" customHeight="1">
      <c r="F402" s="24"/>
      <c r="G402" s="24"/>
    </row>
    <row r="403" ht="15.75" customHeight="1">
      <c r="F403" s="24"/>
      <c r="G403" s="24"/>
    </row>
    <row r="404" ht="15.75" customHeight="1">
      <c r="F404" s="24"/>
      <c r="G404" s="24"/>
    </row>
    <row r="405" ht="15.75" customHeight="1">
      <c r="F405" s="24"/>
      <c r="G405" s="24"/>
    </row>
    <row r="406" ht="15.75" customHeight="1">
      <c r="F406" s="24"/>
      <c r="G406" s="24"/>
    </row>
    <row r="407" ht="15.75" customHeight="1">
      <c r="F407" s="24"/>
      <c r="G407" s="24"/>
    </row>
    <row r="408" ht="15.75" customHeight="1">
      <c r="F408" s="24"/>
      <c r="G408" s="24"/>
    </row>
    <row r="409" ht="15.75" customHeight="1">
      <c r="F409" s="24"/>
      <c r="G409" s="24"/>
    </row>
    <row r="410" ht="15.75" customHeight="1">
      <c r="F410" s="24"/>
      <c r="G410" s="24"/>
    </row>
    <row r="411" ht="15.75" customHeight="1">
      <c r="F411" s="24"/>
      <c r="G411" s="24"/>
    </row>
    <row r="412" ht="15.75" customHeight="1">
      <c r="F412" s="24"/>
      <c r="G412" s="24"/>
    </row>
    <row r="413" ht="15.75" customHeight="1">
      <c r="F413" s="24"/>
      <c r="G413" s="24"/>
    </row>
    <row r="414" ht="15.75" customHeight="1">
      <c r="F414" s="24"/>
      <c r="G414" s="24"/>
    </row>
    <row r="415" ht="15.75" customHeight="1">
      <c r="F415" s="24"/>
      <c r="G415" s="24"/>
    </row>
    <row r="416" ht="15.75" customHeight="1">
      <c r="F416" s="24"/>
      <c r="G416" s="24"/>
    </row>
    <row r="417" ht="15.75" customHeight="1">
      <c r="F417" s="24"/>
      <c r="G417" s="24"/>
    </row>
    <row r="418" ht="15.75" customHeight="1">
      <c r="F418" s="24"/>
      <c r="G418" s="24"/>
    </row>
    <row r="419" ht="15.75" customHeight="1">
      <c r="F419" s="24"/>
      <c r="G419" s="24"/>
    </row>
    <row r="420" ht="15.75" customHeight="1">
      <c r="F420" s="24"/>
      <c r="G420" s="24"/>
    </row>
    <row r="421" ht="15.75" customHeight="1">
      <c r="F421" s="24"/>
      <c r="G421" s="24"/>
    </row>
    <row r="422" ht="15.75" customHeight="1">
      <c r="F422" s="24"/>
      <c r="G422" s="24"/>
    </row>
    <row r="423" ht="15.75" customHeight="1">
      <c r="F423" s="24"/>
      <c r="G423" s="24"/>
    </row>
    <row r="424" ht="15.75" customHeight="1">
      <c r="F424" s="24"/>
      <c r="G424" s="24"/>
    </row>
    <row r="425" ht="15.75" customHeight="1">
      <c r="F425" s="24"/>
      <c r="G425" s="24"/>
    </row>
    <row r="426" ht="15.75" customHeight="1">
      <c r="F426" s="24"/>
      <c r="G426" s="24"/>
    </row>
    <row r="427" ht="15.75" customHeight="1">
      <c r="F427" s="24"/>
      <c r="G427" s="24"/>
    </row>
    <row r="428" ht="15.75" customHeight="1">
      <c r="F428" s="24"/>
      <c r="G428" s="24"/>
    </row>
    <row r="429" ht="15.75" customHeight="1">
      <c r="F429" s="24"/>
      <c r="G429" s="24"/>
    </row>
    <row r="430" ht="15.75" customHeight="1">
      <c r="F430" s="24"/>
      <c r="G430" s="24"/>
    </row>
    <row r="431" ht="15.75" customHeight="1">
      <c r="F431" s="24"/>
      <c r="G431" s="24"/>
    </row>
    <row r="432" ht="15.75" customHeight="1">
      <c r="F432" s="24"/>
      <c r="G432" s="24"/>
    </row>
    <row r="433" ht="15.75" customHeight="1">
      <c r="F433" s="24"/>
      <c r="G433" s="24"/>
    </row>
    <row r="434" ht="15.75" customHeight="1">
      <c r="F434" s="24"/>
      <c r="G434" s="24"/>
    </row>
    <row r="435" ht="15.75" customHeight="1">
      <c r="F435" s="24"/>
      <c r="G435" s="24"/>
    </row>
    <row r="436" ht="15.75" customHeight="1">
      <c r="F436" s="24"/>
      <c r="G436" s="24"/>
    </row>
    <row r="437" ht="15.75" customHeight="1">
      <c r="F437" s="24"/>
      <c r="G437" s="24"/>
    </row>
    <row r="438" ht="15.75" customHeight="1">
      <c r="F438" s="24"/>
      <c r="G438" s="24"/>
    </row>
    <row r="439" ht="15.75" customHeight="1">
      <c r="F439" s="24"/>
      <c r="G439" s="24"/>
    </row>
    <row r="440" ht="15.75" customHeight="1">
      <c r="F440" s="24"/>
      <c r="G440" s="24"/>
    </row>
    <row r="441" ht="15.75" customHeight="1">
      <c r="F441" s="24"/>
      <c r="G441" s="24"/>
    </row>
    <row r="442" ht="15.75" customHeight="1">
      <c r="F442" s="24"/>
      <c r="G442" s="24"/>
    </row>
    <row r="443" ht="15.75" customHeight="1">
      <c r="F443" s="24"/>
      <c r="G443" s="24"/>
    </row>
    <row r="444" ht="15.75" customHeight="1">
      <c r="F444" s="24"/>
      <c r="G444" s="24"/>
    </row>
    <row r="445" ht="15.75" customHeight="1">
      <c r="F445" s="24"/>
      <c r="G445" s="24"/>
    </row>
    <row r="446" ht="15.75" customHeight="1">
      <c r="F446" s="24"/>
      <c r="G446" s="24"/>
    </row>
    <row r="447" ht="15.75" customHeight="1">
      <c r="F447" s="24"/>
      <c r="G447" s="24"/>
    </row>
    <row r="448" ht="15.75" customHeight="1">
      <c r="F448" s="24"/>
      <c r="G448" s="24"/>
    </row>
    <row r="449" ht="15.75" customHeight="1">
      <c r="F449" s="24"/>
      <c r="G449" s="24"/>
    </row>
    <row r="450" ht="15.75" customHeight="1">
      <c r="F450" s="24"/>
      <c r="G450" s="24"/>
    </row>
    <row r="451" ht="15.75" customHeight="1">
      <c r="F451" s="24"/>
      <c r="G451" s="24"/>
    </row>
    <row r="452" ht="15.75" customHeight="1">
      <c r="F452" s="24"/>
      <c r="G452" s="24"/>
    </row>
    <row r="453" ht="15.75" customHeight="1">
      <c r="F453" s="24"/>
      <c r="G453" s="24"/>
    </row>
    <row r="454" ht="15.75" customHeight="1">
      <c r="F454" s="24"/>
      <c r="G454" s="24"/>
    </row>
    <row r="455" ht="15.75" customHeight="1">
      <c r="F455" s="24"/>
      <c r="G455" s="24"/>
    </row>
    <row r="456" ht="15.75" customHeight="1">
      <c r="F456" s="24"/>
      <c r="G456" s="24"/>
    </row>
    <row r="457" ht="15.75" customHeight="1">
      <c r="F457" s="24"/>
      <c r="G457" s="24"/>
    </row>
    <row r="458" ht="15.75" customHeight="1">
      <c r="F458" s="24"/>
      <c r="G458" s="24"/>
    </row>
    <row r="459" ht="15.75" customHeight="1">
      <c r="F459" s="24"/>
      <c r="G459" s="24"/>
    </row>
    <row r="460" ht="15.75" customHeight="1">
      <c r="F460" s="24"/>
      <c r="G460" s="24"/>
    </row>
    <row r="461" ht="15.75" customHeight="1">
      <c r="F461" s="24"/>
      <c r="G461" s="24"/>
    </row>
    <row r="462" ht="15.75" customHeight="1">
      <c r="F462" s="24"/>
      <c r="G462" s="24"/>
    </row>
    <row r="463" ht="15.75" customHeight="1">
      <c r="F463" s="24"/>
      <c r="G463" s="24"/>
    </row>
    <row r="464" ht="15.75" customHeight="1">
      <c r="F464" s="24"/>
      <c r="G464" s="24"/>
    </row>
    <row r="465" ht="15.75" customHeight="1">
      <c r="F465" s="24"/>
      <c r="G465" s="24"/>
    </row>
    <row r="466" ht="15.75" customHeight="1">
      <c r="F466" s="24"/>
      <c r="G466" s="24"/>
    </row>
    <row r="467" ht="15.75" customHeight="1">
      <c r="F467" s="24"/>
      <c r="G467" s="24"/>
    </row>
    <row r="468" ht="15.75" customHeight="1">
      <c r="F468" s="24"/>
      <c r="G468" s="24"/>
    </row>
    <row r="469" ht="15.75" customHeight="1">
      <c r="F469" s="24"/>
      <c r="G469" s="24"/>
    </row>
    <row r="470" ht="15.75" customHeight="1">
      <c r="F470" s="24"/>
      <c r="G470" s="24"/>
    </row>
    <row r="471" ht="15.75" customHeight="1">
      <c r="F471" s="24"/>
      <c r="G471" s="24"/>
    </row>
    <row r="472" ht="15.75" customHeight="1">
      <c r="F472" s="24"/>
      <c r="G472" s="24"/>
    </row>
    <row r="473" ht="15.75" customHeight="1">
      <c r="F473" s="24"/>
      <c r="G473" s="24"/>
    </row>
    <row r="474" ht="15.75" customHeight="1">
      <c r="F474" s="24"/>
      <c r="G474" s="24"/>
    </row>
    <row r="475" ht="15.75" customHeight="1">
      <c r="F475" s="24"/>
      <c r="G475" s="24"/>
    </row>
    <row r="476" ht="15.75" customHeight="1">
      <c r="F476" s="24"/>
      <c r="G476" s="24"/>
    </row>
    <row r="477" ht="15.75" customHeight="1">
      <c r="F477" s="24"/>
      <c r="G477" s="24"/>
    </row>
    <row r="478" ht="15.75" customHeight="1">
      <c r="F478" s="24"/>
      <c r="G478" s="24"/>
    </row>
    <row r="479" ht="15.75" customHeight="1">
      <c r="F479" s="24"/>
      <c r="G479" s="24"/>
    </row>
    <row r="480" ht="15.75" customHeight="1">
      <c r="F480" s="24"/>
      <c r="G480" s="24"/>
    </row>
    <row r="481" ht="15.75" customHeight="1">
      <c r="F481" s="24"/>
      <c r="G481" s="24"/>
    </row>
    <row r="482" ht="15.75" customHeight="1">
      <c r="F482" s="24"/>
      <c r="G482" s="24"/>
    </row>
    <row r="483" ht="15.75" customHeight="1">
      <c r="F483" s="24"/>
      <c r="G483" s="24"/>
    </row>
    <row r="484" ht="15.75" customHeight="1">
      <c r="F484" s="24"/>
      <c r="G484" s="24"/>
    </row>
    <row r="485" ht="15.75" customHeight="1">
      <c r="F485" s="24"/>
      <c r="G485" s="24"/>
    </row>
    <row r="486" ht="15.75" customHeight="1">
      <c r="F486" s="24"/>
      <c r="G486" s="24"/>
    </row>
    <row r="487" ht="15.75" customHeight="1">
      <c r="F487" s="24"/>
      <c r="G487" s="24"/>
    </row>
    <row r="488" ht="15.75" customHeight="1">
      <c r="F488" s="24"/>
      <c r="G488" s="24"/>
    </row>
    <row r="489" ht="15.75" customHeight="1">
      <c r="F489" s="24"/>
      <c r="G489" s="24"/>
    </row>
    <row r="490" ht="15.75" customHeight="1">
      <c r="F490" s="24"/>
      <c r="G490" s="24"/>
    </row>
    <row r="491" ht="15.75" customHeight="1">
      <c r="F491" s="24"/>
      <c r="G491" s="24"/>
    </row>
    <row r="492" ht="15.75" customHeight="1">
      <c r="F492" s="24"/>
      <c r="G492" s="24"/>
    </row>
    <row r="493" ht="15.75" customHeight="1">
      <c r="F493" s="24"/>
      <c r="G493" s="24"/>
    </row>
    <row r="494" ht="15.75" customHeight="1">
      <c r="F494" s="24"/>
      <c r="G494" s="24"/>
    </row>
    <row r="495" ht="15.75" customHeight="1">
      <c r="F495" s="24"/>
      <c r="G495" s="24"/>
    </row>
    <row r="496" ht="15.75" customHeight="1">
      <c r="F496" s="24"/>
      <c r="G496" s="24"/>
    </row>
    <row r="497" ht="15.75" customHeight="1">
      <c r="F497" s="24"/>
      <c r="G497" s="24"/>
    </row>
    <row r="498" ht="15.75" customHeight="1">
      <c r="F498" s="24"/>
      <c r="G498" s="24"/>
    </row>
    <row r="499" ht="15.75" customHeight="1">
      <c r="F499" s="24"/>
      <c r="G499" s="24"/>
    </row>
    <row r="500" ht="15.75" customHeight="1">
      <c r="F500" s="24"/>
      <c r="G500" s="24"/>
    </row>
    <row r="501" ht="15.75" customHeight="1">
      <c r="F501" s="24"/>
      <c r="G501" s="24"/>
    </row>
    <row r="502" ht="15.75" customHeight="1">
      <c r="F502" s="24"/>
      <c r="G502" s="24"/>
    </row>
    <row r="503" ht="15.75" customHeight="1">
      <c r="F503" s="24"/>
      <c r="G503" s="24"/>
    </row>
    <row r="504" ht="15.75" customHeight="1">
      <c r="F504" s="24"/>
      <c r="G504" s="24"/>
    </row>
    <row r="505" ht="15.75" customHeight="1">
      <c r="F505" s="24"/>
      <c r="G505" s="24"/>
    </row>
    <row r="506" ht="15.75" customHeight="1">
      <c r="F506" s="24"/>
      <c r="G506" s="24"/>
    </row>
    <row r="507" ht="15.75" customHeight="1">
      <c r="F507" s="24"/>
      <c r="G507" s="24"/>
    </row>
    <row r="508" ht="15.75" customHeight="1">
      <c r="F508" s="24"/>
      <c r="G508" s="24"/>
    </row>
    <row r="509" ht="15.75" customHeight="1">
      <c r="F509" s="24"/>
      <c r="G509" s="24"/>
    </row>
    <row r="510" ht="15.75" customHeight="1">
      <c r="F510" s="24"/>
      <c r="G510" s="24"/>
    </row>
    <row r="511" ht="15.75" customHeight="1">
      <c r="F511" s="24"/>
      <c r="G511" s="24"/>
    </row>
    <row r="512" ht="15.75" customHeight="1">
      <c r="F512" s="24"/>
      <c r="G512" s="24"/>
    </row>
    <row r="513" ht="15.75" customHeight="1">
      <c r="F513" s="24"/>
      <c r="G513" s="24"/>
    </row>
    <row r="514" ht="15.75" customHeight="1">
      <c r="F514" s="24"/>
      <c r="G514" s="24"/>
    </row>
    <row r="515" ht="15.75" customHeight="1">
      <c r="F515" s="24"/>
      <c r="G515" s="24"/>
    </row>
    <row r="516" ht="15.75" customHeight="1">
      <c r="F516" s="24"/>
      <c r="G516" s="24"/>
    </row>
    <row r="517" ht="15.75" customHeight="1">
      <c r="F517" s="24"/>
      <c r="G517" s="24"/>
    </row>
    <row r="518" ht="15.75" customHeight="1">
      <c r="F518" s="24"/>
      <c r="G518" s="24"/>
    </row>
    <row r="519" ht="15.75" customHeight="1">
      <c r="F519" s="24"/>
      <c r="G519" s="24"/>
    </row>
    <row r="520" ht="15.75" customHeight="1">
      <c r="F520" s="24"/>
      <c r="G520" s="24"/>
    </row>
    <row r="521" ht="15.75" customHeight="1">
      <c r="F521" s="24"/>
      <c r="G521" s="24"/>
    </row>
    <row r="522" ht="15.75" customHeight="1">
      <c r="F522" s="24"/>
      <c r="G522" s="24"/>
    </row>
    <row r="523" ht="15.75" customHeight="1">
      <c r="F523" s="24"/>
      <c r="G523" s="24"/>
    </row>
    <row r="524" ht="15.75" customHeight="1">
      <c r="F524" s="24"/>
      <c r="G524" s="24"/>
    </row>
    <row r="525" ht="15.75" customHeight="1">
      <c r="F525" s="24"/>
      <c r="G525" s="24"/>
    </row>
    <row r="526" ht="15.75" customHeight="1">
      <c r="F526" s="24"/>
      <c r="G526" s="24"/>
    </row>
    <row r="527" ht="15.75" customHeight="1">
      <c r="F527" s="24"/>
      <c r="G527" s="24"/>
    </row>
    <row r="528" ht="15.75" customHeight="1">
      <c r="F528" s="24"/>
      <c r="G528" s="24"/>
    </row>
    <row r="529" ht="15.75" customHeight="1">
      <c r="F529" s="24"/>
      <c r="G529" s="24"/>
    </row>
    <row r="530" ht="15.75" customHeight="1">
      <c r="F530" s="24"/>
      <c r="G530" s="24"/>
    </row>
    <row r="531" ht="15.75" customHeight="1">
      <c r="F531" s="24"/>
      <c r="G531" s="24"/>
    </row>
    <row r="532" ht="15.75" customHeight="1">
      <c r="F532" s="24"/>
      <c r="G532" s="24"/>
    </row>
    <row r="533" ht="15.75" customHeight="1">
      <c r="F533" s="24"/>
      <c r="G533" s="24"/>
    </row>
    <row r="534" ht="15.75" customHeight="1">
      <c r="F534" s="24"/>
      <c r="G534" s="24"/>
    </row>
    <row r="535" ht="15.75" customHeight="1">
      <c r="F535" s="24"/>
      <c r="G535" s="24"/>
    </row>
    <row r="536" ht="15.75" customHeight="1">
      <c r="F536" s="24"/>
      <c r="G536" s="24"/>
    </row>
    <row r="537" ht="15.75" customHeight="1">
      <c r="F537" s="24"/>
      <c r="G537" s="24"/>
    </row>
    <row r="538" ht="15.75" customHeight="1">
      <c r="F538" s="24"/>
      <c r="G538" s="24"/>
    </row>
    <row r="539" ht="15.75" customHeight="1">
      <c r="F539" s="24"/>
      <c r="G539" s="24"/>
    </row>
    <row r="540" ht="15.75" customHeight="1">
      <c r="F540" s="24"/>
      <c r="G540" s="24"/>
    </row>
    <row r="541" ht="15.75" customHeight="1">
      <c r="F541" s="24"/>
      <c r="G541" s="24"/>
    </row>
    <row r="542" ht="15.75" customHeight="1">
      <c r="F542" s="24"/>
      <c r="G542" s="24"/>
    </row>
    <row r="543" ht="15.75" customHeight="1">
      <c r="F543" s="24"/>
      <c r="G543" s="24"/>
    </row>
    <row r="544" ht="15.75" customHeight="1">
      <c r="F544" s="24"/>
      <c r="G544" s="24"/>
    </row>
    <row r="545" ht="15.75" customHeight="1">
      <c r="F545" s="24"/>
      <c r="G545" s="24"/>
    </row>
    <row r="546" ht="15.75" customHeight="1">
      <c r="F546" s="24"/>
      <c r="G546" s="24"/>
    </row>
    <row r="547" ht="15.75" customHeight="1">
      <c r="F547" s="24"/>
      <c r="G547" s="24"/>
    </row>
    <row r="548" ht="15.75" customHeight="1">
      <c r="F548" s="24"/>
      <c r="G548" s="24"/>
    </row>
    <row r="549" ht="15.75" customHeight="1">
      <c r="F549" s="24"/>
      <c r="G549" s="24"/>
    </row>
    <row r="550" ht="15.75" customHeight="1">
      <c r="F550" s="24"/>
      <c r="G550" s="24"/>
    </row>
    <row r="551" ht="15.75" customHeight="1">
      <c r="F551" s="24"/>
      <c r="G551" s="24"/>
    </row>
    <row r="552" ht="15.75" customHeight="1">
      <c r="F552" s="24"/>
      <c r="G552" s="24"/>
    </row>
    <row r="553" ht="15.75" customHeight="1">
      <c r="F553" s="24"/>
      <c r="G553" s="24"/>
    </row>
    <row r="554" ht="15.75" customHeight="1">
      <c r="F554" s="24"/>
      <c r="G554" s="24"/>
    </row>
    <row r="555" ht="15.75" customHeight="1">
      <c r="F555" s="24"/>
      <c r="G555" s="24"/>
    </row>
    <row r="556" ht="15.75" customHeight="1">
      <c r="F556" s="24"/>
      <c r="G556" s="24"/>
    </row>
    <row r="557" ht="15.75" customHeight="1">
      <c r="F557" s="24"/>
      <c r="G557" s="24"/>
    </row>
    <row r="558" ht="15.75" customHeight="1">
      <c r="F558" s="24"/>
      <c r="G558" s="24"/>
    </row>
    <row r="559" ht="15.75" customHeight="1">
      <c r="F559" s="24"/>
      <c r="G559" s="24"/>
    </row>
    <row r="560" ht="15.75" customHeight="1">
      <c r="F560" s="24"/>
      <c r="G560" s="24"/>
    </row>
    <row r="561" ht="15.75" customHeight="1">
      <c r="F561" s="24"/>
      <c r="G561" s="24"/>
    </row>
    <row r="562" ht="15.75" customHeight="1">
      <c r="F562" s="24"/>
      <c r="G562" s="24"/>
    </row>
    <row r="563" ht="15.75" customHeight="1">
      <c r="F563" s="24"/>
      <c r="G563" s="24"/>
    </row>
    <row r="564" ht="15.75" customHeight="1">
      <c r="F564" s="24"/>
      <c r="G564" s="24"/>
    </row>
    <row r="565" ht="15.75" customHeight="1">
      <c r="F565" s="24"/>
      <c r="G565" s="24"/>
    </row>
    <row r="566" ht="15.75" customHeight="1">
      <c r="F566" s="24"/>
      <c r="G566" s="24"/>
    </row>
    <row r="567" ht="15.75" customHeight="1">
      <c r="F567" s="24"/>
      <c r="G567" s="24"/>
    </row>
    <row r="568" ht="15.75" customHeight="1">
      <c r="F568" s="24"/>
      <c r="G568" s="24"/>
    </row>
    <row r="569" ht="15.75" customHeight="1">
      <c r="F569" s="24"/>
      <c r="G569" s="24"/>
    </row>
    <row r="570" ht="15.75" customHeight="1">
      <c r="F570" s="24"/>
      <c r="G570" s="24"/>
    </row>
    <row r="571" ht="15.75" customHeight="1">
      <c r="F571" s="24"/>
      <c r="G571" s="24"/>
    </row>
    <row r="572" ht="15.75" customHeight="1">
      <c r="F572" s="24"/>
      <c r="G572" s="24"/>
    </row>
    <row r="573" ht="15.75" customHeight="1">
      <c r="F573" s="24"/>
      <c r="G573" s="24"/>
    </row>
    <row r="574" ht="15.75" customHeight="1">
      <c r="F574" s="24"/>
      <c r="G574" s="24"/>
    </row>
    <row r="575" ht="15.75" customHeight="1">
      <c r="F575" s="24"/>
      <c r="G575" s="24"/>
    </row>
    <row r="576" ht="15.75" customHeight="1">
      <c r="F576" s="24"/>
      <c r="G576" s="24"/>
    </row>
    <row r="577" ht="15.75" customHeight="1">
      <c r="F577" s="24"/>
      <c r="G577" s="24"/>
    </row>
    <row r="578" ht="15.75" customHeight="1">
      <c r="F578" s="24"/>
      <c r="G578" s="24"/>
    </row>
    <row r="579" ht="15.75" customHeight="1">
      <c r="F579" s="24"/>
      <c r="G579" s="24"/>
    </row>
    <row r="580" ht="15.75" customHeight="1">
      <c r="F580" s="24"/>
      <c r="G580" s="24"/>
    </row>
    <row r="581" ht="15.75" customHeight="1">
      <c r="F581" s="24"/>
      <c r="G581" s="24"/>
    </row>
    <row r="582" ht="15.75" customHeight="1">
      <c r="F582" s="24"/>
      <c r="G582" s="24"/>
    </row>
    <row r="583" ht="15.75" customHeight="1">
      <c r="F583" s="24"/>
      <c r="G583" s="24"/>
    </row>
    <row r="584" ht="15.75" customHeight="1">
      <c r="F584" s="24"/>
      <c r="G584" s="24"/>
    </row>
    <row r="585" ht="15.75" customHeight="1">
      <c r="F585" s="24"/>
      <c r="G585" s="24"/>
    </row>
    <row r="586" ht="15.75" customHeight="1">
      <c r="F586" s="24"/>
      <c r="G586" s="24"/>
    </row>
    <row r="587" ht="15.75" customHeight="1">
      <c r="F587" s="24"/>
      <c r="G587" s="24"/>
    </row>
    <row r="588" ht="15.75" customHeight="1">
      <c r="F588" s="24"/>
      <c r="G588" s="24"/>
    </row>
    <row r="589" ht="15.75" customHeight="1">
      <c r="F589" s="24"/>
      <c r="G589" s="24"/>
    </row>
    <row r="590" ht="15.75" customHeight="1">
      <c r="F590" s="24"/>
      <c r="G590" s="24"/>
    </row>
    <row r="591" ht="15.75" customHeight="1">
      <c r="F591" s="24"/>
      <c r="G591" s="24"/>
    </row>
    <row r="592" ht="15.75" customHeight="1">
      <c r="F592" s="24"/>
      <c r="G592" s="24"/>
    </row>
    <row r="593" ht="15.75" customHeight="1">
      <c r="F593" s="24"/>
      <c r="G593" s="24"/>
    </row>
    <row r="594" ht="15.75" customHeight="1">
      <c r="F594" s="24"/>
      <c r="G594" s="24"/>
    </row>
    <row r="595" ht="15.75" customHeight="1">
      <c r="F595" s="24"/>
      <c r="G595" s="24"/>
    </row>
    <row r="596" ht="15.75" customHeight="1">
      <c r="F596" s="24"/>
      <c r="G596" s="24"/>
    </row>
    <row r="597" ht="15.75" customHeight="1">
      <c r="F597" s="24"/>
      <c r="G597" s="24"/>
    </row>
    <row r="598" ht="15.75" customHeight="1">
      <c r="F598" s="24"/>
      <c r="G598" s="24"/>
    </row>
    <row r="599" ht="15.75" customHeight="1">
      <c r="F599" s="24"/>
      <c r="G599" s="24"/>
    </row>
    <row r="600" ht="15.75" customHeight="1">
      <c r="F600" s="24"/>
      <c r="G600" s="24"/>
    </row>
    <row r="601" ht="15.75" customHeight="1">
      <c r="F601" s="24"/>
      <c r="G601" s="24"/>
    </row>
    <row r="602" ht="15.75" customHeight="1">
      <c r="F602" s="24"/>
      <c r="G602" s="24"/>
    </row>
    <row r="603" ht="15.75" customHeight="1">
      <c r="F603" s="24"/>
      <c r="G603" s="24"/>
    </row>
    <row r="604" ht="15.75" customHeight="1">
      <c r="F604" s="24"/>
      <c r="G604" s="24"/>
    </row>
    <row r="605" ht="15.75" customHeight="1">
      <c r="F605" s="24"/>
      <c r="G605" s="24"/>
    </row>
    <row r="606" ht="15.75" customHeight="1">
      <c r="F606" s="24"/>
      <c r="G606" s="24"/>
    </row>
    <row r="607" ht="15.75" customHeight="1">
      <c r="F607" s="24"/>
      <c r="G607" s="24"/>
    </row>
    <row r="608" ht="15.75" customHeight="1">
      <c r="F608" s="24"/>
      <c r="G608" s="24"/>
    </row>
    <row r="609" ht="15.75" customHeight="1">
      <c r="F609" s="24"/>
      <c r="G609" s="24"/>
    </row>
    <row r="610" ht="15.75" customHeight="1">
      <c r="F610" s="24"/>
      <c r="G610" s="24"/>
    </row>
    <row r="611" ht="15.75" customHeight="1">
      <c r="F611" s="24"/>
      <c r="G611" s="24"/>
    </row>
    <row r="612" ht="15.75" customHeight="1">
      <c r="F612" s="24"/>
      <c r="G612" s="24"/>
    </row>
    <row r="613" ht="15.75" customHeight="1">
      <c r="F613" s="24"/>
      <c r="G613" s="24"/>
    </row>
    <row r="614" ht="15.75" customHeight="1">
      <c r="F614" s="24"/>
      <c r="G614" s="24"/>
    </row>
    <row r="615" ht="15.75" customHeight="1">
      <c r="F615" s="24"/>
      <c r="G615" s="24"/>
    </row>
    <row r="616" ht="15.75" customHeight="1">
      <c r="F616" s="24"/>
      <c r="G616" s="24"/>
    </row>
    <row r="617" ht="15.75" customHeight="1">
      <c r="F617" s="24"/>
      <c r="G617" s="24"/>
    </row>
    <row r="618" ht="15.75" customHeight="1">
      <c r="F618" s="24"/>
      <c r="G618" s="24"/>
    </row>
    <row r="619" ht="15.75" customHeight="1">
      <c r="F619" s="24"/>
      <c r="G619" s="24"/>
    </row>
    <row r="620" ht="15.75" customHeight="1">
      <c r="F620" s="24"/>
      <c r="G620" s="24"/>
    </row>
    <row r="621" ht="15.75" customHeight="1">
      <c r="F621" s="24"/>
      <c r="G621" s="24"/>
    </row>
    <row r="622" ht="15.75" customHeight="1">
      <c r="F622" s="24"/>
      <c r="G622" s="24"/>
    </row>
    <row r="623" ht="15.75" customHeight="1">
      <c r="F623" s="24"/>
      <c r="G623" s="24"/>
    </row>
    <row r="624" ht="15.75" customHeight="1">
      <c r="F624" s="24"/>
      <c r="G624" s="24"/>
    </row>
    <row r="625" ht="15.75" customHeight="1">
      <c r="F625" s="24"/>
      <c r="G625" s="24"/>
    </row>
    <row r="626" ht="15.75" customHeight="1">
      <c r="F626" s="24"/>
      <c r="G626" s="24"/>
    </row>
    <row r="627" ht="15.75" customHeight="1">
      <c r="F627" s="24"/>
      <c r="G627" s="24"/>
    </row>
    <row r="628" ht="15.75" customHeight="1">
      <c r="F628" s="24"/>
      <c r="G628" s="24"/>
    </row>
    <row r="629" ht="15.75" customHeight="1">
      <c r="F629" s="24"/>
      <c r="G629" s="24"/>
    </row>
    <row r="630" ht="15.75" customHeight="1">
      <c r="F630" s="24"/>
      <c r="G630" s="24"/>
    </row>
    <row r="631" ht="15.75" customHeight="1">
      <c r="F631" s="24"/>
      <c r="G631" s="24"/>
    </row>
    <row r="632" ht="15.75" customHeight="1">
      <c r="F632" s="24"/>
      <c r="G632" s="24"/>
    </row>
    <row r="633" ht="15.75" customHeight="1">
      <c r="F633" s="24"/>
      <c r="G633" s="24"/>
    </row>
    <row r="634" ht="15.75" customHeight="1">
      <c r="F634" s="24"/>
      <c r="G634" s="24"/>
    </row>
    <row r="635" ht="15.75" customHeight="1">
      <c r="F635" s="24"/>
      <c r="G635" s="24"/>
    </row>
    <row r="636" ht="15.75" customHeight="1">
      <c r="F636" s="24"/>
      <c r="G636" s="24"/>
    </row>
    <row r="637" ht="15.75" customHeight="1">
      <c r="F637" s="24"/>
      <c r="G637" s="24"/>
    </row>
    <row r="638" ht="15.75" customHeight="1">
      <c r="F638" s="24"/>
      <c r="G638" s="24"/>
    </row>
    <row r="639" ht="15.75" customHeight="1">
      <c r="F639" s="24"/>
      <c r="G639" s="24"/>
    </row>
    <row r="640" ht="15.75" customHeight="1">
      <c r="F640" s="24"/>
      <c r="G640" s="24"/>
    </row>
    <row r="641" ht="15.75" customHeight="1">
      <c r="F641" s="24"/>
      <c r="G641" s="24"/>
    </row>
    <row r="642" ht="15.75" customHeight="1">
      <c r="F642" s="24"/>
      <c r="G642" s="24"/>
    </row>
    <row r="643" ht="15.75" customHeight="1">
      <c r="F643" s="24"/>
      <c r="G643" s="24"/>
    </row>
    <row r="644" ht="15.75" customHeight="1">
      <c r="F644" s="24"/>
      <c r="G644" s="24"/>
    </row>
    <row r="645" ht="15.75" customHeight="1">
      <c r="F645" s="24"/>
      <c r="G645" s="24"/>
    </row>
    <row r="646" ht="15.75" customHeight="1">
      <c r="F646" s="24"/>
      <c r="G646" s="24"/>
    </row>
    <row r="647" ht="15.75" customHeight="1">
      <c r="F647" s="24"/>
      <c r="G647" s="24"/>
    </row>
    <row r="648" ht="15.75" customHeight="1">
      <c r="F648" s="24"/>
      <c r="G648" s="24"/>
    </row>
    <row r="649" ht="15.75" customHeight="1">
      <c r="F649" s="24"/>
      <c r="G649" s="24"/>
    </row>
    <row r="650" ht="15.75" customHeight="1">
      <c r="F650" s="24"/>
      <c r="G650" s="24"/>
    </row>
    <row r="651" ht="15.75" customHeight="1">
      <c r="F651" s="24"/>
      <c r="G651" s="24"/>
    </row>
    <row r="652" ht="15.75" customHeight="1">
      <c r="F652" s="24"/>
      <c r="G652" s="24"/>
    </row>
    <row r="653" ht="15.75" customHeight="1">
      <c r="F653" s="24"/>
      <c r="G653" s="24"/>
    </row>
    <row r="654" ht="15.75" customHeight="1">
      <c r="F654" s="24"/>
      <c r="G654" s="24"/>
    </row>
    <row r="655" ht="15.75" customHeight="1">
      <c r="F655" s="24"/>
      <c r="G655" s="24"/>
    </row>
    <row r="656" ht="15.75" customHeight="1">
      <c r="F656" s="24"/>
      <c r="G656" s="24"/>
    </row>
    <row r="657" ht="15.75" customHeight="1">
      <c r="F657" s="24"/>
      <c r="G657" s="24"/>
    </row>
    <row r="658" ht="15.75" customHeight="1">
      <c r="F658" s="24"/>
      <c r="G658" s="24"/>
    </row>
    <row r="659" ht="15.75" customHeight="1">
      <c r="F659" s="24"/>
      <c r="G659" s="24"/>
    </row>
    <row r="660" ht="15.75" customHeight="1">
      <c r="F660" s="24"/>
      <c r="G660" s="24"/>
    </row>
    <row r="661" ht="15.75" customHeight="1">
      <c r="F661" s="24"/>
      <c r="G661" s="24"/>
    </row>
    <row r="662" ht="15.75" customHeight="1">
      <c r="F662" s="24"/>
      <c r="G662" s="24"/>
    </row>
    <row r="663" ht="15.75" customHeight="1">
      <c r="F663" s="24"/>
      <c r="G663" s="24"/>
    </row>
    <row r="664" ht="15.75" customHeight="1">
      <c r="F664" s="24"/>
      <c r="G664" s="24"/>
    </row>
    <row r="665" ht="15.75" customHeight="1">
      <c r="F665" s="24"/>
      <c r="G665" s="24"/>
    </row>
    <row r="666" ht="15.75" customHeight="1">
      <c r="F666" s="24"/>
      <c r="G666" s="24"/>
    </row>
    <row r="667" ht="15.75" customHeight="1">
      <c r="F667" s="24"/>
      <c r="G667" s="24"/>
    </row>
    <row r="668" ht="15.75" customHeight="1">
      <c r="F668" s="24"/>
      <c r="G668" s="24"/>
    </row>
    <row r="669" ht="15.75" customHeight="1">
      <c r="F669" s="24"/>
      <c r="G669" s="24"/>
    </row>
    <row r="670" ht="15.75" customHeight="1">
      <c r="F670" s="24"/>
      <c r="G670" s="24"/>
    </row>
    <row r="671" ht="15.75" customHeight="1">
      <c r="F671" s="24"/>
      <c r="G671" s="24"/>
    </row>
    <row r="672" ht="15.75" customHeight="1">
      <c r="F672" s="24"/>
      <c r="G672" s="24"/>
    </row>
    <row r="673" ht="15.75" customHeight="1">
      <c r="F673" s="24"/>
      <c r="G673" s="24"/>
    </row>
    <row r="674" ht="15.75" customHeight="1">
      <c r="F674" s="24"/>
      <c r="G674" s="24"/>
    </row>
    <row r="675" ht="15.75" customHeight="1">
      <c r="F675" s="24"/>
      <c r="G675" s="24"/>
    </row>
    <row r="676" ht="15.75" customHeight="1">
      <c r="F676" s="24"/>
      <c r="G676" s="24"/>
    </row>
    <row r="677" ht="15.75" customHeight="1">
      <c r="F677" s="24"/>
      <c r="G677" s="24"/>
    </row>
    <row r="678" ht="15.75" customHeight="1">
      <c r="F678" s="24"/>
      <c r="G678" s="24"/>
    </row>
    <row r="679" ht="15.75" customHeight="1">
      <c r="F679" s="24"/>
      <c r="G679" s="24"/>
    </row>
    <row r="680" ht="15.75" customHeight="1">
      <c r="F680" s="24"/>
      <c r="G680" s="24"/>
    </row>
    <row r="681" ht="15.75" customHeight="1">
      <c r="F681" s="24"/>
      <c r="G681" s="24"/>
    </row>
    <row r="682" ht="15.75" customHeight="1">
      <c r="F682" s="24"/>
      <c r="G682" s="24"/>
    </row>
    <row r="683" ht="15.75" customHeight="1">
      <c r="F683" s="24"/>
      <c r="G683" s="24"/>
    </row>
    <row r="684" ht="15.75" customHeight="1">
      <c r="F684" s="24"/>
      <c r="G684" s="24"/>
    </row>
    <row r="685" ht="15.75" customHeight="1">
      <c r="F685" s="24"/>
      <c r="G685" s="24"/>
    </row>
    <row r="686" ht="15.75" customHeight="1">
      <c r="F686" s="24"/>
      <c r="G686" s="24"/>
    </row>
    <row r="687" ht="15.75" customHeight="1">
      <c r="F687" s="24"/>
      <c r="G687" s="24"/>
    </row>
    <row r="688" ht="15.75" customHeight="1">
      <c r="F688" s="24"/>
      <c r="G688" s="24"/>
    </row>
    <row r="689" ht="15.75" customHeight="1">
      <c r="F689" s="24"/>
      <c r="G689" s="24"/>
    </row>
    <row r="690" ht="15.75" customHeight="1">
      <c r="F690" s="24"/>
      <c r="G690" s="24"/>
    </row>
    <row r="691" ht="15.75" customHeight="1">
      <c r="F691" s="24"/>
      <c r="G691" s="24"/>
    </row>
    <row r="692" ht="15.75" customHeight="1">
      <c r="F692" s="24"/>
      <c r="G692" s="24"/>
    </row>
    <row r="693" ht="15.75" customHeight="1">
      <c r="F693" s="24"/>
      <c r="G693" s="24"/>
    </row>
    <row r="694" ht="15.75" customHeight="1">
      <c r="F694" s="24"/>
      <c r="G694" s="24"/>
    </row>
    <row r="695" ht="15.75" customHeight="1">
      <c r="F695" s="24"/>
      <c r="G695" s="24"/>
    </row>
    <row r="696" ht="15.75" customHeight="1">
      <c r="F696" s="24"/>
      <c r="G696" s="24"/>
    </row>
    <row r="697" ht="15.75" customHeight="1">
      <c r="F697" s="24"/>
      <c r="G697" s="24"/>
    </row>
    <row r="698" ht="15.75" customHeight="1">
      <c r="F698" s="24"/>
      <c r="G698" s="24"/>
    </row>
    <row r="699" ht="15.75" customHeight="1">
      <c r="F699" s="24"/>
      <c r="G699" s="24"/>
    </row>
    <row r="700" ht="15.75" customHeight="1">
      <c r="F700" s="24"/>
      <c r="G700" s="24"/>
    </row>
    <row r="701" ht="15.75" customHeight="1">
      <c r="F701" s="24"/>
      <c r="G701" s="24"/>
    </row>
    <row r="702" ht="15.75" customHeight="1">
      <c r="F702" s="24"/>
      <c r="G702" s="24"/>
    </row>
    <row r="703" ht="15.75" customHeight="1">
      <c r="F703" s="24"/>
      <c r="G703" s="24"/>
    </row>
    <row r="704" ht="15.75" customHeight="1">
      <c r="F704" s="24"/>
      <c r="G704" s="24"/>
    </row>
    <row r="705" ht="15.75" customHeight="1">
      <c r="F705" s="24"/>
      <c r="G705" s="24"/>
    </row>
    <row r="706" ht="15.75" customHeight="1">
      <c r="F706" s="24"/>
      <c r="G706" s="24"/>
    </row>
    <row r="707" ht="15.75" customHeight="1">
      <c r="F707" s="24"/>
      <c r="G707" s="24"/>
    </row>
    <row r="708" ht="15.75" customHeight="1">
      <c r="F708" s="24"/>
      <c r="G708" s="24"/>
    </row>
    <row r="709" ht="15.75" customHeight="1">
      <c r="F709" s="24"/>
      <c r="G709" s="24"/>
    </row>
    <row r="710" ht="15.75" customHeight="1">
      <c r="F710" s="24"/>
      <c r="G710" s="24"/>
    </row>
    <row r="711" ht="15.75" customHeight="1">
      <c r="F711" s="24"/>
      <c r="G711" s="24"/>
    </row>
    <row r="712" ht="15.75" customHeight="1">
      <c r="F712" s="24"/>
      <c r="G712" s="24"/>
    </row>
    <row r="713" ht="15.75" customHeight="1">
      <c r="F713" s="24"/>
      <c r="G713" s="24"/>
    </row>
    <row r="714" ht="15.75" customHeight="1">
      <c r="F714" s="24"/>
      <c r="G714" s="24"/>
    </row>
    <row r="715" ht="15.75" customHeight="1">
      <c r="F715" s="24"/>
      <c r="G715" s="24"/>
    </row>
    <row r="716" ht="15.75" customHeight="1">
      <c r="F716" s="24"/>
      <c r="G716" s="24"/>
    </row>
    <row r="717" ht="15.75" customHeight="1">
      <c r="F717" s="24"/>
      <c r="G717" s="24"/>
    </row>
    <row r="718" ht="15.75" customHeight="1">
      <c r="F718" s="24"/>
      <c r="G718" s="24"/>
    </row>
    <row r="719" ht="15.75" customHeight="1">
      <c r="F719" s="24"/>
      <c r="G719" s="24"/>
    </row>
    <row r="720" ht="15.75" customHeight="1">
      <c r="F720" s="24"/>
      <c r="G720" s="24"/>
    </row>
    <row r="721" ht="15.75" customHeight="1">
      <c r="F721" s="24"/>
      <c r="G721" s="24"/>
    </row>
    <row r="722" ht="15.75" customHeight="1">
      <c r="F722" s="24"/>
      <c r="G722" s="24"/>
    </row>
    <row r="723" ht="15.75" customHeight="1">
      <c r="F723" s="24"/>
      <c r="G723" s="24"/>
    </row>
    <row r="724" ht="15.75" customHeight="1">
      <c r="F724" s="24"/>
      <c r="G724" s="24"/>
    </row>
    <row r="725" ht="15.75" customHeight="1">
      <c r="F725" s="24"/>
      <c r="G725" s="24"/>
    </row>
    <row r="726" ht="15.75" customHeight="1">
      <c r="F726" s="24"/>
      <c r="G726" s="24"/>
    </row>
    <row r="727" ht="15.75" customHeight="1">
      <c r="F727" s="24"/>
      <c r="G727" s="24"/>
    </row>
    <row r="728" ht="15.75" customHeight="1">
      <c r="F728" s="24"/>
      <c r="G728" s="24"/>
    </row>
    <row r="729" ht="15.75" customHeight="1">
      <c r="F729" s="24"/>
      <c r="G729" s="24"/>
    </row>
    <row r="730" ht="15.75" customHeight="1">
      <c r="F730" s="24"/>
      <c r="G730" s="24"/>
    </row>
    <row r="731" ht="15.75" customHeight="1">
      <c r="F731" s="24"/>
      <c r="G731" s="24"/>
    </row>
    <row r="732" ht="15.75" customHeight="1">
      <c r="F732" s="24"/>
      <c r="G732" s="24"/>
    </row>
    <row r="733" ht="15.75" customHeight="1">
      <c r="F733" s="24"/>
      <c r="G733" s="24"/>
    </row>
    <row r="734" ht="15.75" customHeight="1">
      <c r="F734" s="24"/>
      <c r="G734" s="24"/>
    </row>
    <row r="735" ht="15.75" customHeight="1">
      <c r="F735" s="24"/>
      <c r="G735" s="24"/>
    </row>
    <row r="736" ht="15.75" customHeight="1">
      <c r="F736" s="24"/>
      <c r="G736" s="24"/>
    </row>
    <row r="737" ht="15.75" customHeight="1">
      <c r="F737" s="24"/>
      <c r="G737" s="24"/>
    </row>
    <row r="738" ht="15.75" customHeight="1">
      <c r="F738" s="24"/>
      <c r="G738" s="24"/>
    </row>
    <row r="739" ht="15.75" customHeight="1">
      <c r="F739" s="24"/>
      <c r="G739" s="24"/>
    </row>
    <row r="740" ht="15.75" customHeight="1">
      <c r="F740" s="24"/>
      <c r="G740" s="24"/>
    </row>
    <row r="741" ht="15.75" customHeight="1">
      <c r="F741" s="24"/>
      <c r="G741" s="24"/>
    </row>
    <row r="742" ht="15.75" customHeight="1">
      <c r="F742" s="24"/>
      <c r="G742" s="24"/>
    </row>
    <row r="743" ht="15.75" customHeight="1">
      <c r="F743" s="24"/>
      <c r="G743" s="24"/>
    </row>
    <row r="744" ht="15.75" customHeight="1">
      <c r="F744" s="24"/>
      <c r="G744" s="24"/>
    </row>
    <row r="745" ht="15.75" customHeight="1">
      <c r="F745" s="24"/>
      <c r="G745" s="24"/>
    </row>
    <row r="746" ht="15.75" customHeight="1">
      <c r="F746" s="24"/>
      <c r="G746" s="24"/>
    </row>
    <row r="747" ht="15.75" customHeight="1">
      <c r="F747" s="24"/>
      <c r="G747" s="24"/>
    </row>
    <row r="748" ht="15.75" customHeight="1">
      <c r="F748" s="24"/>
      <c r="G748" s="24"/>
    </row>
    <row r="749" ht="15.75" customHeight="1">
      <c r="F749" s="24"/>
      <c r="G749" s="24"/>
    </row>
    <row r="750" ht="15.75" customHeight="1">
      <c r="F750" s="24"/>
      <c r="G750" s="24"/>
    </row>
    <row r="751" ht="15.75" customHeight="1">
      <c r="F751" s="24"/>
      <c r="G751" s="24"/>
    </row>
    <row r="752" ht="15.75" customHeight="1">
      <c r="F752" s="24"/>
      <c r="G752" s="24"/>
    </row>
    <row r="753" ht="15.75" customHeight="1">
      <c r="F753" s="24"/>
      <c r="G753" s="24"/>
    </row>
    <row r="754" ht="15.75" customHeight="1">
      <c r="F754" s="24"/>
      <c r="G754" s="24"/>
    </row>
    <row r="755" ht="15.75" customHeight="1">
      <c r="F755" s="24"/>
      <c r="G755" s="24"/>
    </row>
    <row r="756" ht="15.75" customHeight="1">
      <c r="F756" s="24"/>
      <c r="G756" s="24"/>
    </row>
    <row r="757" ht="15.75" customHeight="1">
      <c r="F757" s="24"/>
      <c r="G757" s="24"/>
    </row>
    <row r="758" ht="15.75" customHeight="1">
      <c r="F758" s="24"/>
      <c r="G758" s="24"/>
    </row>
    <row r="759" ht="15.75" customHeight="1">
      <c r="F759" s="24"/>
      <c r="G759" s="24"/>
    </row>
    <row r="760" ht="15.75" customHeight="1">
      <c r="F760" s="24"/>
      <c r="G760" s="24"/>
    </row>
    <row r="761" ht="15.75" customHeight="1">
      <c r="F761" s="24"/>
      <c r="G761" s="24"/>
    </row>
    <row r="762" ht="15.75" customHeight="1">
      <c r="F762" s="24"/>
      <c r="G762" s="24"/>
    </row>
    <row r="763" ht="15.75" customHeight="1">
      <c r="F763" s="24"/>
      <c r="G763" s="24"/>
    </row>
    <row r="764" ht="15.75" customHeight="1">
      <c r="F764" s="24"/>
      <c r="G764" s="24"/>
    </row>
    <row r="765" ht="15.75" customHeight="1">
      <c r="F765" s="24"/>
      <c r="G765" s="24"/>
    </row>
    <row r="766" ht="15.75" customHeight="1">
      <c r="F766" s="24"/>
      <c r="G766" s="24"/>
    </row>
    <row r="767" ht="15.75" customHeight="1">
      <c r="F767" s="24"/>
      <c r="G767" s="24"/>
    </row>
    <row r="768" ht="15.75" customHeight="1">
      <c r="F768" s="24"/>
      <c r="G768" s="24"/>
    </row>
    <row r="769" ht="15.75" customHeight="1">
      <c r="F769" s="24"/>
      <c r="G769" s="24"/>
    </row>
    <row r="770" ht="15.75" customHeight="1">
      <c r="F770" s="24"/>
      <c r="G770" s="24"/>
    </row>
    <row r="771" ht="15.75" customHeight="1">
      <c r="F771" s="24"/>
      <c r="G771" s="24"/>
    </row>
    <row r="772" ht="15.75" customHeight="1">
      <c r="F772" s="24"/>
      <c r="G772" s="24"/>
    </row>
    <row r="773" ht="15.75" customHeight="1">
      <c r="F773" s="24"/>
      <c r="G773" s="24"/>
    </row>
    <row r="774" ht="15.75" customHeight="1">
      <c r="F774" s="24"/>
      <c r="G774" s="24"/>
    </row>
    <row r="775" ht="15.75" customHeight="1">
      <c r="F775" s="24"/>
      <c r="G775" s="24"/>
    </row>
    <row r="776" ht="15.75" customHeight="1">
      <c r="F776" s="24"/>
      <c r="G776" s="24"/>
    </row>
    <row r="777" ht="15.75" customHeight="1">
      <c r="F777" s="24"/>
      <c r="G777" s="24"/>
    </row>
    <row r="778" ht="15.75" customHeight="1">
      <c r="F778" s="24"/>
      <c r="G778" s="24"/>
    </row>
    <row r="779" ht="15.75" customHeight="1">
      <c r="F779" s="24"/>
      <c r="G779" s="24"/>
    </row>
    <row r="780" ht="15.75" customHeight="1">
      <c r="F780" s="24"/>
      <c r="G780" s="24"/>
    </row>
    <row r="781" ht="15.75" customHeight="1">
      <c r="F781" s="24"/>
      <c r="G781" s="24"/>
    </row>
    <row r="782" ht="15.75" customHeight="1">
      <c r="F782" s="24"/>
      <c r="G782" s="24"/>
    </row>
    <row r="783" ht="15.75" customHeight="1">
      <c r="F783" s="24"/>
      <c r="G783" s="24"/>
    </row>
    <row r="784" ht="15.75" customHeight="1">
      <c r="F784" s="24"/>
      <c r="G784" s="24"/>
    </row>
    <row r="785" ht="15.75" customHeight="1">
      <c r="F785" s="24"/>
      <c r="G785" s="24"/>
    </row>
    <row r="786" ht="15.75" customHeight="1">
      <c r="F786" s="24"/>
      <c r="G786" s="24"/>
    </row>
    <row r="787" ht="15.75" customHeight="1">
      <c r="F787" s="24"/>
      <c r="G787" s="24"/>
    </row>
    <row r="788" ht="15.75" customHeight="1">
      <c r="F788" s="24"/>
      <c r="G788" s="24"/>
    </row>
    <row r="789" ht="15.75" customHeight="1">
      <c r="F789" s="24"/>
      <c r="G789" s="24"/>
    </row>
    <row r="790" ht="15.75" customHeight="1">
      <c r="F790" s="24"/>
      <c r="G790" s="24"/>
    </row>
    <row r="791" ht="15.75" customHeight="1">
      <c r="F791" s="24"/>
      <c r="G791" s="24"/>
    </row>
    <row r="792" ht="15.75" customHeight="1">
      <c r="F792" s="24"/>
      <c r="G792" s="24"/>
    </row>
    <row r="793" ht="15.75" customHeight="1">
      <c r="F793" s="24"/>
      <c r="G793" s="24"/>
    </row>
    <row r="794" ht="15.75" customHeight="1">
      <c r="F794" s="24"/>
      <c r="G794" s="24"/>
    </row>
    <row r="795" ht="15.75" customHeight="1">
      <c r="F795" s="24"/>
      <c r="G795" s="24"/>
    </row>
    <row r="796" ht="15.75" customHeight="1">
      <c r="F796" s="24"/>
      <c r="G796" s="24"/>
    </row>
    <row r="797" ht="15.75" customHeight="1">
      <c r="F797" s="24"/>
      <c r="G797" s="24"/>
    </row>
    <row r="798" ht="15.75" customHeight="1">
      <c r="F798" s="24"/>
      <c r="G798" s="24"/>
    </row>
    <row r="799" ht="15.75" customHeight="1">
      <c r="F799" s="24"/>
      <c r="G799" s="24"/>
    </row>
    <row r="800" ht="15.75" customHeight="1">
      <c r="F800" s="24"/>
      <c r="G800" s="24"/>
    </row>
    <row r="801" ht="15.75" customHeight="1">
      <c r="F801" s="24"/>
      <c r="G801" s="24"/>
    </row>
    <row r="802" ht="15.75" customHeight="1">
      <c r="F802" s="24"/>
      <c r="G802" s="24"/>
    </row>
    <row r="803" ht="15.75" customHeight="1">
      <c r="F803" s="24"/>
      <c r="G803" s="24"/>
    </row>
    <row r="804" ht="15.75" customHeight="1">
      <c r="F804" s="24"/>
      <c r="G804" s="24"/>
    </row>
    <row r="805" ht="15.75" customHeight="1">
      <c r="F805" s="24"/>
      <c r="G805" s="24"/>
    </row>
    <row r="806" ht="15.75" customHeight="1">
      <c r="F806" s="24"/>
      <c r="G806" s="24"/>
    </row>
    <row r="807" ht="15.75" customHeight="1">
      <c r="F807" s="24"/>
      <c r="G807" s="24"/>
    </row>
    <row r="808" ht="15.75" customHeight="1">
      <c r="F808" s="24"/>
      <c r="G808" s="24"/>
    </row>
    <row r="809" ht="15.75" customHeight="1">
      <c r="F809" s="24"/>
      <c r="G809" s="24"/>
    </row>
    <row r="810" ht="15.75" customHeight="1">
      <c r="F810" s="24"/>
      <c r="G810" s="24"/>
    </row>
    <row r="811" ht="15.75" customHeight="1">
      <c r="F811" s="24"/>
      <c r="G811" s="24"/>
    </row>
    <row r="812" ht="15.75" customHeight="1">
      <c r="F812" s="24"/>
      <c r="G812" s="24"/>
    </row>
    <row r="813" ht="15.75" customHeight="1">
      <c r="F813" s="24"/>
      <c r="G813" s="24"/>
    </row>
    <row r="814" ht="15.75" customHeight="1">
      <c r="F814" s="24"/>
      <c r="G814" s="24"/>
    </row>
    <row r="815" ht="15.75" customHeight="1">
      <c r="F815" s="24"/>
      <c r="G815" s="24"/>
    </row>
    <row r="816" ht="15.75" customHeight="1">
      <c r="F816" s="24"/>
      <c r="G816" s="24"/>
    </row>
    <row r="817" ht="15.75" customHeight="1">
      <c r="F817" s="24"/>
      <c r="G817" s="24"/>
    </row>
    <row r="818" ht="15.75" customHeight="1">
      <c r="F818" s="24"/>
      <c r="G818" s="24"/>
    </row>
    <row r="819" ht="15.75" customHeight="1">
      <c r="F819" s="24"/>
      <c r="G819" s="24"/>
    </row>
    <row r="820" ht="15.75" customHeight="1">
      <c r="F820" s="24"/>
      <c r="G820" s="24"/>
    </row>
    <row r="821" ht="15.75" customHeight="1">
      <c r="F821" s="24"/>
      <c r="G821" s="24"/>
    </row>
    <row r="822" ht="15.75" customHeight="1">
      <c r="F822" s="24"/>
      <c r="G822" s="24"/>
    </row>
    <row r="823" ht="15.75" customHeight="1">
      <c r="F823" s="24"/>
      <c r="G823" s="24"/>
    </row>
    <row r="824" ht="15.75" customHeight="1">
      <c r="F824" s="24"/>
      <c r="G824" s="24"/>
    </row>
    <row r="825" ht="15.75" customHeight="1">
      <c r="F825" s="24"/>
      <c r="G825" s="24"/>
    </row>
    <row r="826" ht="15.75" customHeight="1">
      <c r="F826" s="24"/>
      <c r="G826" s="24"/>
    </row>
    <row r="827" ht="15.75" customHeight="1">
      <c r="F827" s="24"/>
      <c r="G827" s="24"/>
    </row>
    <row r="828" ht="15.75" customHeight="1">
      <c r="F828" s="24"/>
      <c r="G828" s="24"/>
    </row>
    <row r="829" ht="15.75" customHeight="1">
      <c r="F829" s="24"/>
      <c r="G829" s="24"/>
    </row>
    <row r="830" ht="15.75" customHeight="1">
      <c r="F830" s="24"/>
      <c r="G830" s="24"/>
    </row>
    <row r="831" ht="15.75" customHeight="1">
      <c r="F831" s="24"/>
      <c r="G831" s="24"/>
    </row>
    <row r="832" ht="15.75" customHeight="1">
      <c r="F832" s="24"/>
      <c r="G832" s="24"/>
    </row>
    <row r="833" ht="15.75" customHeight="1">
      <c r="F833" s="24"/>
      <c r="G833" s="24"/>
    </row>
    <row r="834" ht="15.75" customHeight="1">
      <c r="F834" s="24"/>
      <c r="G834" s="24"/>
    </row>
    <row r="835" ht="15.75" customHeight="1">
      <c r="F835" s="24"/>
      <c r="G835" s="24"/>
    </row>
    <row r="836" ht="15.75" customHeight="1">
      <c r="F836" s="24"/>
      <c r="G836" s="24"/>
    </row>
    <row r="837" ht="15.75" customHeight="1">
      <c r="F837" s="24"/>
      <c r="G837" s="24"/>
    </row>
    <row r="838" ht="15.75" customHeight="1">
      <c r="F838" s="24"/>
      <c r="G838" s="24"/>
    </row>
    <row r="839" ht="15.75" customHeight="1">
      <c r="F839" s="24"/>
      <c r="G839" s="24"/>
    </row>
    <row r="840" ht="15.75" customHeight="1">
      <c r="F840" s="24"/>
      <c r="G840" s="24"/>
    </row>
    <row r="841" ht="15.75" customHeight="1">
      <c r="F841" s="24"/>
      <c r="G841" s="24"/>
    </row>
    <row r="842" ht="15.75" customHeight="1">
      <c r="F842" s="24"/>
      <c r="G842" s="24"/>
    </row>
    <row r="843" ht="15.75" customHeight="1">
      <c r="F843" s="24"/>
      <c r="G843" s="24"/>
    </row>
    <row r="844" ht="15.75" customHeight="1">
      <c r="F844" s="24"/>
      <c r="G844" s="24"/>
    </row>
    <row r="845" ht="15.75" customHeight="1">
      <c r="F845" s="24"/>
      <c r="G845" s="24"/>
    </row>
    <row r="846" ht="15.75" customHeight="1">
      <c r="F846" s="24"/>
      <c r="G846" s="24"/>
    </row>
    <row r="847" ht="15.75" customHeight="1">
      <c r="F847" s="24"/>
      <c r="G847" s="24"/>
    </row>
    <row r="848" ht="15.75" customHeight="1">
      <c r="F848" s="24"/>
      <c r="G848" s="24"/>
    </row>
    <row r="849" ht="15.75" customHeight="1">
      <c r="F849" s="24"/>
      <c r="G849" s="24"/>
    </row>
    <row r="850" ht="15.75" customHeight="1">
      <c r="F850" s="24"/>
      <c r="G850" s="24"/>
    </row>
    <row r="851" ht="15.75" customHeight="1">
      <c r="F851" s="24"/>
      <c r="G851" s="24"/>
    </row>
    <row r="852" ht="15.75" customHeight="1">
      <c r="F852" s="24"/>
      <c r="G852" s="24"/>
    </row>
    <row r="853" ht="15.75" customHeight="1">
      <c r="F853" s="24"/>
      <c r="G853" s="24"/>
    </row>
    <row r="854" ht="15.75" customHeight="1">
      <c r="F854" s="24"/>
      <c r="G854" s="24"/>
    </row>
    <row r="855" ht="15.75" customHeight="1">
      <c r="F855" s="24"/>
      <c r="G855" s="24"/>
    </row>
    <row r="856" ht="15.75" customHeight="1">
      <c r="F856" s="24"/>
      <c r="G856" s="24"/>
    </row>
    <row r="857" ht="15.75" customHeight="1">
      <c r="F857" s="24"/>
      <c r="G857" s="24"/>
    </row>
    <row r="858" ht="15.75" customHeight="1">
      <c r="F858" s="24"/>
      <c r="G858" s="24"/>
    </row>
    <row r="859" ht="15.75" customHeight="1">
      <c r="F859" s="24"/>
      <c r="G859" s="24"/>
    </row>
    <row r="860" ht="15.75" customHeight="1">
      <c r="F860" s="24"/>
      <c r="G860" s="24"/>
    </row>
    <row r="861" ht="15.75" customHeight="1">
      <c r="F861" s="24"/>
      <c r="G861" s="24"/>
    </row>
    <row r="862" ht="15.75" customHeight="1">
      <c r="F862" s="24"/>
      <c r="G862" s="24"/>
    </row>
    <row r="863" ht="15.75" customHeight="1">
      <c r="F863" s="24"/>
      <c r="G863" s="24"/>
    </row>
    <row r="864" ht="15.75" customHeight="1">
      <c r="F864" s="24"/>
      <c r="G864" s="24"/>
    </row>
    <row r="865" ht="15.75" customHeight="1">
      <c r="F865" s="24"/>
      <c r="G865" s="24"/>
    </row>
    <row r="866" ht="15.75" customHeight="1">
      <c r="F866" s="24"/>
      <c r="G866" s="24"/>
    </row>
    <row r="867" ht="15.75" customHeight="1">
      <c r="F867" s="24"/>
      <c r="G867" s="24"/>
    </row>
    <row r="868" ht="15.75" customHeight="1">
      <c r="F868" s="24"/>
      <c r="G868" s="24"/>
    </row>
    <row r="869" ht="15.75" customHeight="1">
      <c r="F869" s="24"/>
      <c r="G869" s="24"/>
    </row>
    <row r="870" ht="15.75" customHeight="1">
      <c r="F870" s="24"/>
      <c r="G870" s="24"/>
    </row>
    <row r="871" ht="15.75" customHeight="1">
      <c r="F871" s="24"/>
      <c r="G871" s="24"/>
    </row>
    <row r="872" ht="15.75" customHeight="1">
      <c r="F872" s="24"/>
      <c r="G872" s="24"/>
    </row>
    <row r="873" ht="15.75" customHeight="1">
      <c r="F873" s="24"/>
      <c r="G873" s="24"/>
    </row>
    <row r="874" ht="15.75" customHeight="1">
      <c r="F874" s="24"/>
      <c r="G874" s="24"/>
    </row>
    <row r="875" ht="15.75" customHeight="1">
      <c r="F875" s="24"/>
      <c r="G875" s="24"/>
    </row>
    <row r="876" ht="15.75" customHeight="1">
      <c r="F876" s="24"/>
      <c r="G876" s="24"/>
    </row>
    <row r="877" ht="15.75" customHeight="1">
      <c r="F877" s="24"/>
      <c r="G877" s="24"/>
    </row>
    <row r="878" ht="15.75" customHeight="1">
      <c r="F878" s="24"/>
      <c r="G878" s="24"/>
    </row>
    <row r="879" ht="15.75" customHeight="1">
      <c r="F879" s="24"/>
      <c r="G879" s="24"/>
    </row>
    <row r="880" ht="15.75" customHeight="1">
      <c r="F880" s="24"/>
      <c r="G880" s="24"/>
    </row>
    <row r="881" ht="15.75" customHeight="1">
      <c r="F881" s="24"/>
      <c r="G881" s="24"/>
    </row>
    <row r="882" ht="15.75" customHeight="1">
      <c r="F882" s="24"/>
      <c r="G882" s="24"/>
    </row>
    <row r="883" ht="15.75" customHeight="1">
      <c r="F883" s="24"/>
      <c r="G883" s="24"/>
    </row>
    <row r="884" ht="15.75" customHeight="1">
      <c r="F884" s="24"/>
      <c r="G884" s="24"/>
    </row>
    <row r="885" ht="15.75" customHeight="1">
      <c r="F885" s="24"/>
      <c r="G885" s="24"/>
    </row>
    <row r="886" ht="15.75" customHeight="1">
      <c r="F886" s="24"/>
      <c r="G886" s="24"/>
    </row>
    <row r="887" ht="15.75" customHeight="1">
      <c r="F887" s="24"/>
      <c r="G887" s="24"/>
    </row>
    <row r="888" ht="15.75" customHeight="1">
      <c r="F888" s="24"/>
      <c r="G888" s="24"/>
    </row>
    <row r="889" ht="15.75" customHeight="1">
      <c r="F889" s="24"/>
      <c r="G889" s="24"/>
    </row>
    <row r="890" ht="15.75" customHeight="1">
      <c r="F890" s="24"/>
      <c r="G890" s="24"/>
    </row>
    <row r="891" ht="15.75" customHeight="1">
      <c r="F891" s="24"/>
      <c r="G891" s="24"/>
    </row>
    <row r="892" ht="15.75" customHeight="1">
      <c r="F892" s="24"/>
      <c r="G892" s="24"/>
    </row>
    <row r="893" ht="15.75" customHeight="1">
      <c r="F893" s="24"/>
      <c r="G893" s="24"/>
    </row>
    <row r="894" ht="15.75" customHeight="1">
      <c r="F894" s="24"/>
      <c r="G894" s="24"/>
    </row>
    <row r="895" ht="15.75" customHeight="1">
      <c r="F895" s="24"/>
      <c r="G895" s="24"/>
    </row>
    <row r="896" ht="15.75" customHeight="1">
      <c r="F896" s="24"/>
      <c r="G896" s="24"/>
    </row>
    <row r="897" ht="15.75" customHeight="1">
      <c r="F897" s="24"/>
      <c r="G897" s="24"/>
    </row>
    <row r="898" ht="15.75" customHeight="1">
      <c r="F898" s="24"/>
      <c r="G898" s="24"/>
    </row>
    <row r="899" ht="15.75" customHeight="1">
      <c r="F899" s="24"/>
      <c r="G899" s="24"/>
    </row>
    <row r="900" ht="15.75" customHeight="1">
      <c r="F900" s="24"/>
      <c r="G900" s="24"/>
    </row>
    <row r="901" ht="15.75" customHeight="1">
      <c r="F901" s="24"/>
      <c r="G901" s="24"/>
    </row>
    <row r="902" ht="15.75" customHeight="1">
      <c r="F902" s="24"/>
      <c r="G902" s="24"/>
    </row>
    <row r="903" ht="15.75" customHeight="1">
      <c r="F903" s="24"/>
      <c r="G903" s="24"/>
    </row>
    <row r="904" ht="15.75" customHeight="1">
      <c r="F904" s="24"/>
      <c r="G904" s="24"/>
    </row>
    <row r="905" ht="15.75" customHeight="1">
      <c r="F905" s="24"/>
      <c r="G905" s="24"/>
    </row>
    <row r="906" ht="15.75" customHeight="1">
      <c r="F906" s="24"/>
      <c r="G906" s="24"/>
    </row>
    <row r="907" ht="15.75" customHeight="1">
      <c r="F907" s="24"/>
      <c r="G907" s="24"/>
    </row>
    <row r="908" ht="15.75" customHeight="1">
      <c r="F908" s="24"/>
      <c r="G908" s="24"/>
    </row>
    <row r="909" ht="15.75" customHeight="1">
      <c r="F909" s="24"/>
      <c r="G909" s="24"/>
    </row>
    <row r="910" ht="15.75" customHeight="1">
      <c r="F910" s="24"/>
      <c r="G910" s="24"/>
    </row>
    <row r="911" ht="15.75" customHeight="1">
      <c r="F911" s="24"/>
      <c r="G911" s="24"/>
    </row>
    <row r="912" ht="15.75" customHeight="1">
      <c r="F912" s="24"/>
      <c r="G912" s="24"/>
    </row>
    <row r="913" ht="15.75" customHeight="1">
      <c r="F913" s="24"/>
      <c r="G913" s="24"/>
    </row>
    <row r="914" ht="15.75" customHeight="1">
      <c r="F914" s="24"/>
      <c r="G914" s="24"/>
    </row>
    <row r="915" ht="15.75" customHeight="1">
      <c r="F915" s="24"/>
      <c r="G915" s="24"/>
    </row>
    <row r="916" ht="15.75" customHeight="1">
      <c r="F916" s="24"/>
      <c r="G916" s="24"/>
    </row>
    <row r="917" ht="15.75" customHeight="1">
      <c r="F917" s="24"/>
      <c r="G917" s="24"/>
    </row>
    <row r="918" ht="15.75" customHeight="1">
      <c r="F918" s="24"/>
      <c r="G918" s="24"/>
    </row>
    <row r="919" ht="15.75" customHeight="1">
      <c r="F919" s="24"/>
      <c r="G919" s="24"/>
    </row>
    <row r="920" ht="15.75" customHeight="1">
      <c r="F920" s="24"/>
      <c r="G920" s="24"/>
    </row>
    <row r="921" ht="15.75" customHeight="1">
      <c r="F921" s="24"/>
      <c r="G921" s="24"/>
    </row>
    <row r="922" ht="15.75" customHeight="1">
      <c r="F922" s="24"/>
      <c r="G922" s="24"/>
    </row>
    <row r="923" ht="15.75" customHeight="1">
      <c r="F923" s="24"/>
      <c r="G923" s="24"/>
    </row>
    <row r="924" ht="15.75" customHeight="1">
      <c r="F924" s="24"/>
      <c r="G924" s="24"/>
    </row>
    <row r="925" ht="15.75" customHeight="1">
      <c r="F925" s="24"/>
      <c r="G925" s="24"/>
    </row>
    <row r="926" ht="15.75" customHeight="1">
      <c r="F926" s="24"/>
      <c r="G926" s="24"/>
    </row>
    <row r="927" ht="15.75" customHeight="1">
      <c r="F927" s="24"/>
      <c r="G927" s="24"/>
    </row>
    <row r="928" ht="15.75" customHeight="1">
      <c r="F928" s="24"/>
      <c r="G928" s="24"/>
    </row>
    <row r="929" ht="15.75" customHeight="1">
      <c r="F929" s="24"/>
      <c r="G929" s="24"/>
    </row>
    <row r="930" ht="15.75" customHeight="1">
      <c r="F930" s="24"/>
      <c r="G930" s="24"/>
    </row>
    <row r="931" ht="15.75" customHeight="1">
      <c r="F931" s="24"/>
      <c r="G931" s="24"/>
    </row>
    <row r="932" ht="15.75" customHeight="1">
      <c r="F932" s="24"/>
      <c r="G932" s="24"/>
    </row>
    <row r="933" ht="15.75" customHeight="1">
      <c r="F933" s="24"/>
      <c r="G933" s="24"/>
    </row>
    <row r="934" ht="15.75" customHeight="1">
      <c r="F934" s="24"/>
      <c r="G934" s="24"/>
    </row>
    <row r="935" ht="15.75" customHeight="1">
      <c r="F935" s="24"/>
      <c r="G935" s="24"/>
    </row>
    <row r="936" ht="15.75" customHeight="1">
      <c r="F936" s="24"/>
      <c r="G936" s="24"/>
    </row>
    <row r="937" ht="15.75" customHeight="1">
      <c r="F937" s="24"/>
      <c r="G937" s="24"/>
    </row>
    <row r="938" ht="15.75" customHeight="1">
      <c r="F938" s="24"/>
      <c r="G938" s="24"/>
    </row>
    <row r="939" ht="15.75" customHeight="1">
      <c r="F939" s="24"/>
      <c r="G939" s="24"/>
    </row>
    <row r="940" ht="15.75" customHeight="1">
      <c r="F940" s="24"/>
      <c r="G940" s="24"/>
    </row>
    <row r="941" ht="15.75" customHeight="1">
      <c r="F941" s="24"/>
      <c r="G941" s="24"/>
    </row>
    <row r="942" ht="15.75" customHeight="1">
      <c r="F942" s="24"/>
      <c r="G942" s="24"/>
    </row>
    <row r="943" ht="15.75" customHeight="1">
      <c r="F943" s="24"/>
      <c r="G943" s="24"/>
    </row>
    <row r="944" ht="15.75" customHeight="1">
      <c r="F944" s="24"/>
      <c r="G944" s="24"/>
    </row>
    <row r="945" ht="15.75" customHeight="1">
      <c r="F945" s="24"/>
      <c r="G945" s="24"/>
    </row>
    <row r="946" ht="15.75" customHeight="1">
      <c r="F946" s="24"/>
      <c r="G946" s="24"/>
    </row>
    <row r="947" ht="15.75" customHeight="1">
      <c r="F947" s="24"/>
      <c r="G947" s="24"/>
    </row>
    <row r="948" ht="15.75" customHeight="1">
      <c r="F948" s="24"/>
      <c r="G948" s="24"/>
    </row>
    <row r="949" ht="15.75" customHeight="1">
      <c r="F949" s="24"/>
      <c r="G949" s="24"/>
    </row>
    <row r="950" ht="15.75" customHeight="1">
      <c r="F950" s="24"/>
      <c r="G950" s="24"/>
    </row>
    <row r="951" ht="15.75" customHeight="1">
      <c r="F951" s="24"/>
      <c r="G951" s="24"/>
    </row>
    <row r="952" ht="15.75" customHeight="1">
      <c r="F952" s="24"/>
      <c r="G952" s="24"/>
    </row>
    <row r="953" ht="15.75" customHeight="1">
      <c r="F953" s="24"/>
      <c r="G953" s="24"/>
    </row>
    <row r="954" ht="15.75" customHeight="1">
      <c r="F954" s="24"/>
      <c r="G954" s="24"/>
    </row>
    <row r="955" ht="15.75" customHeight="1">
      <c r="F955" s="24"/>
      <c r="G955" s="24"/>
    </row>
    <row r="956" ht="15.75" customHeight="1">
      <c r="F956" s="24"/>
      <c r="G956" s="24"/>
    </row>
    <row r="957" ht="15.75" customHeight="1">
      <c r="F957" s="24"/>
      <c r="G957" s="24"/>
    </row>
    <row r="958" ht="15.75" customHeight="1">
      <c r="F958" s="24"/>
      <c r="G958" s="24"/>
    </row>
    <row r="959" ht="15.75" customHeight="1">
      <c r="F959" s="24"/>
      <c r="G959" s="24"/>
    </row>
    <row r="960" ht="15.75" customHeight="1">
      <c r="F960" s="24"/>
      <c r="G960" s="24"/>
    </row>
    <row r="961" ht="15.75" customHeight="1">
      <c r="F961" s="24"/>
      <c r="G961" s="24"/>
    </row>
    <row r="962" ht="15.75" customHeight="1">
      <c r="F962" s="24"/>
      <c r="G962" s="24"/>
    </row>
    <row r="963" ht="15.75" customHeight="1">
      <c r="F963" s="24"/>
      <c r="G963" s="24"/>
    </row>
    <row r="964" ht="15.75" customHeight="1">
      <c r="F964" s="24"/>
      <c r="G964" s="24"/>
    </row>
    <row r="965" ht="15.75" customHeight="1">
      <c r="F965" s="24"/>
      <c r="G965" s="24"/>
    </row>
    <row r="966" ht="15.75" customHeight="1">
      <c r="F966" s="24"/>
      <c r="G966" s="24"/>
    </row>
    <row r="967" ht="15.75" customHeight="1">
      <c r="F967" s="24"/>
      <c r="G967" s="24"/>
    </row>
    <row r="968" ht="15.75" customHeight="1">
      <c r="F968" s="24"/>
      <c r="G968" s="24"/>
    </row>
    <row r="969" ht="15.75" customHeight="1">
      <c r="F969" s="24"/>
      <c r="G969" s="24"/>
    </row>
    <row r="970" ht="15.75" customHeight="1">
      <c r="F970" s="24"/>
      <c r="G970" s="24"/>
    </row>
    <row r="971" ht="15.75" customHeight="1">
      <c r="F971" s="24"/>
      <c r="G971" s="24"/>
    </row>
    <row r="972" ht="15.75" customHeight="1">
      <c r="F972" s="24"/>
      <c r="G972" s="24"/>
    </row>
    <row r="973" ht="15.75" customHeight="1">
      <c r="F973" s="24"/>
      <c r="G973" s="24"/>
    </row>
    <row r="974" ht="15.75" customHeight="1">
      <c r="F974" s="24"/>
      <c r="G974" s="24"/>
    </row>
    <row r="975" ht="15.75" customHeight="1">
      <c r="F975" s="24"/>
      <c r="G975" s="24"/>
    </row>
    <row r="976" ht="15.75" customHeight="1">
      <c r="F976" s="24"/>
      <c r="G976" s="24"/>
    </row>
    <row r="977" ht="15.75" customHeight="1">
      <c r="F977" s="24"/>
      <c r="G977" s="24"/>
    </row>
    <row r="978" ht="15.75" customHeight="1">
      <c r="F978" s="24"/>
      <c r="G978" s="24"/>
    </row>
    <row r="979" ht="15.75" customHeight="1">
      <c r="F979" s="24"/>
      <c r="G979" s="24"/>
    </row>
    <row r="980" ht="15.75" customHeight="1">
      <c r="F980" s="24"/>
      <c r="G980" s="24"/>
    </row>
    <row r="981" ht="15.75" customHeight="1">
      <c r="F981" s="24"/>
      <c r="G981" s="24"/>
    </row>
    <row r="982" ht="15.75" customHeight="1">
      <c r="F982" s="24"/>
      <c r="G982" s="24"/>
    </row>
    <row r="983" ht="15.75" customHeight="1">
      <c r="F983" s="24"/>
      <c r="G983" s="24"/>
    </row>
    <row r="984" ht="15.75" customHeight="1">
      <c r="F984" s="24"/>
      <c r="G984" s="24"/>
    </row>
    <row r="985" ht="15.75" customHeight="1">
      <c r="F985" s="24"/>
      <c r="G985" s="24"/>
    </row>
    <row r="986" ht="15.75" customHeight="1">
      <c r="F986" s="24"/>
      <c r="G986" s="24"/>
    </row>
    <row r="987" ht="15.75" customHeight="1">
      <c r="F987" s="24"/>
      <c r="G987" s="24"/>
    </row>
    <row r="988" ht="15.75" customHeight="1">
      <c r="F988" s="24"/>
      <c r="G988" s="24"/>
    </row>
    <row r="989" ht="15.75" customHeight="1">
      <c r="F989" s="24"/>
      <c r="G989" s="24"/>
    </row>
    <row r="990" ht="15.75" customHeight="1">
      <c r="F990" s="24"/>
      <c r="G990" s="24"/>
    </row>
    <row r="991" ht="15.75" customHeight="1">
      <c r="F991" s="24"/>
      <c r="G991" s="24"/>
    </row>
    <row r="992" ht="15.75" customHeight="1">
      <c r="F992" s="24"/>
      <c r="G992" s="24"/>
    </row>
    <row r="993" ht="15.75" customHeight="1">
      <c r="F993" s="24"/>
      <c r="G993" s="24"/>
    </row>
    <row r="994" ht="15.75" customHeight="1">
      <c r="F994" s="24"/>
      <c r="G994" s="24"/>
    </row>
    <row r="995" ht="15.75" customHeight="1">
      <c r="F995" s="24"/>
      <c r="G995" s="24"/>
    </row>
    <row r="996" ht="15.75" customHeight="1">
      <c r="F996" s="24"/>
      <c r="G996" s="24"/>
    </row>
    <row r="997" ht="15.75" customHeight="1">
      <c r="F997" s="24"/>
      <c r="G997" s="24"/>
    </row>
    <row r="998" ht="15.75" customHeight="1">
      <c r="F998" s="24"/>
      <c r="G998" s="24"/>
    </row>
    <row r="999" ht="15.75" customHeight="1">
      <c r="F999" s="24"/>
      <c r="G999" s="24"/>
    </row>
    <row r="1000" ht="15.75" customHeight="1">
      <c r="F1000" s="24"/>
      <c r="G1000" s="24"/>
    </row>
  </sheetData>
  <autoFilter ref="$A$1:$H$201"/>
  <customSheetViews>
    <customSheetView guid="{A9273827-7937-4100-9C78-E04B829EF689}" filter="1" showAutoFilter="1">
      <autoFilter ref="$A$1:$H$201"/>
    </customSheetView>
  </customSheetViews>
  <mergeCells count="7">
    <mergeCell ref="L3:M3"/>
    <mergeCell ref="L4:M4"/>
    <mergeCell ref="N4:O4"/>
    <mergeCell ref="M8:N8"/>
    <mergeCell ref="M9:N9"/>
    <mergeCell ref="M13:N13"/>
    <mergeCell ref="M14:N14"/>
  </mergeCells>
  <conditionalFormatting sqref="H1:H1000">
    <cfRule type="cellIs" dxfId="1" priority="1" operator="equal">
      <formula>"Achieved"</formula>
    </cfRule>
  </conditionalFormatting>
  <conditionalFormatting sqref="H1:H1000">
    <cfRule type="cellIs" dxfId="2" priority="2" operator="equal">
      <formula>"Not Achieved"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1.14"/>
    <col customWidth="1" min="2" max="2" width="15.29"/>
    <col customWidth="1" min="4" max="4" width="11.14"/>
    <col customWidth="1" min="5" max="5" width="16.43"/>
    <col customWidth="1" min="6" max="6" width="15.29"/>
    <col customWidth="1" min="8" max="8" width="11.86"/>
    <col customWidth="1" min="9" max="9" width="15.29"/>
    <col customWidth="1" min="11" max="11" width="12.57"/>
    <col customWidth="1" min="12" max="12" width="16.29"/>
  </cols>
  <sheetData>
    <row r="1">
      <c r="O1" s="26"/>
    </row>
    <row r="2">
      <c r="O2" s="26"/>
    </row>
    <row r="3"/>
    <row r="4"/>
    <row r="5"/>
    <row r="6"/>
    <row r="7"/>
    <row r="8"/>
  </sheetData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28" t="s">
        <v>63</v>
      </c>
      <c r="C2" s="29"/>
      <c r="E2" s="28" t="s">
        <v>64</v>
      </c>
      <c r="F2" s="29"/>
      <c r="H2" s="30" t="s">
        <v>65</v>
      </c>
      <c r="I2" s="29"/>
      <c r="K2" s="28" t="s">
        <v>66</v>
      </c>
      <c r="L2" s="29"/>
    </row>
    <row r="3">
      <c r="A3" s="31"/>
      <c r="B3" s="32"/>
      <c r="C3" s="33"/>
      <c r="E3" s="32"/>
      <c r="F3" s="33"/>
      <c r="H3" s="32"/>
      <c r="I3" s="33"/>
      <c r="K3" s="32"/>
      <c r="L3" s="33"/>
    </row>
    <row r="4">
      <c r="B4" s="32"/>
      <c r="C4" s="33"/>
      <c r="E4" s="32"/>
      <c r="F4" s="33"/>
      <c r="H4" s="34"/>
      <c r="I4" s="35"/>
      <c r="K4" s="32"/>
      <c r="L4" s="33"/>
    </row>
    <row r="5">
      <c r="B5" s="32"/>
      <c r="C5" s="33"/>
      <c r="E5" s="32"/>
      <c r="F5" s="33"/>
      <c r="K5" s="32"/>
      <c r="L5" s="33"/>
    </row>
    <row r="6">
      <c r="B6" s="34"/>
      <c r="C6" s="35"/>
      <c r="E6" s="34"/>
      <c r="F6" s="35"/>
      <c r="K6" s="34"/>
      <c r="L6" s="35"/>
    </row>
    <row r="11">
      <c r="D11" s="36"/>
    </row>
  </sheetData>
  <mergeCells count="4">
    <mergeCell ref="B2:C6"/>
    <mergeCell ref="E2:F6"/>
    <mergeCell ref="H2:I4"/>
    <mergeCell ref="K2:L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